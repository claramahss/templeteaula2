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ab2\Desktop\"/>
    </mc:Choice>
  </mc:AlternateContent>
  <xr:revisionPtr revIDLastSave="0" documentId="8_{7B8656F3-74FF-4A77-B66B-C93FF5BFC26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1" r:id="rId1"/>
    <sheet name="Tela_Lancamento" sheetId="2" r:id="rId2"/>
    <sheet name="Solicitacoes" sheetId="3" r:id="rId3"/>
    <sheet name="Itens_Solicitacao" sheetId="4" r:id="rId4"/>
    <sheet name="Cadastros" sheetId="5" r:id="rId5"/>
  </sheets>
  <definedNames>
    <definedName name="listaCodigosEquipamentos">Cadastros!$A$6:$A$10</definedName>
    <definedName name="listaTurmas">Cadastros!$D$6:$D$11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1" i="4" l="1"/>
  <c r="C10" i="4"/>
  <c r="F12" i="1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13" i="2" a="1"/>
  <c r="B13" i="2" s="1"/>
  <c r="A15" i="1"/>
  <c r="B15" i="1" s="1"/>
  <c r="E14" i="1"/>
  <c r="A14" i="1"/>
  <c r="B14" i="1" s="1"/>
  <c r="E13" i="1"/>
  <c r="A13" i="1"/>
  <c r="B13" i="1" s="1"/>
  <c r="E12" i="1"/>
  <c r="A12" i="1"/>
  <c r="B12" i="1" s="1"/>
  <c r="E11" i="1"/>
  <c r="A11" i="1"/>
  <c r="B11" i="1" s="1"/>
  <c r="E10" i="1"/>
  <c r="A10" i="1"/>
  <c r="B10" i="1" s="1"/>
  <c r="G6" i="1"/>
  <c r="D6" i="1"/>
  <c r="A6" i="1"/>
  <c r="F14" i="1" l="1"/>
  <c r="F10" i="1"/>
  <c r="F11" i="1"/>
  <c r="F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<sst xmlns="http://schemas.openxmlformats.org/spreadsheetml/2006/main" count="89" uniqueCount="58">
  <si>
    <t>Dashboard — Reservas do laboratório</t>
  </si>
  <si>
    <t>Os resumos usam os lançamentos; complete as fórmulas dos três indicadores verdes.</t>
  </si>
  <si>
    <t>Solicitações registradas</t>
  </si>
  <si>
    <t>Itens reservados</t>
  </si>
  <si>
    <t>Reservas para hoje ou depois</t>
  </si>
  <si>
    <t>Turma</t>
  </si>
  <si>
    <t>Quantidade de solicitações</t>
  </si>
  <si>
    <t>Equipamento</t>
  </si>
  <si>
    <t>Quantidade de itens</t>
  </si>
  <si>
    <t>Tela de lançamento — Reserva de laboratório</t>
  </si>
  <si>
    <t>Informe o código do equipamento. O nome será preenchido automaticamente a partir da Tabela 3 — Catálogo de equipamentos.</t>
  </si>
  <si>
    <t>Dados da solicitação</t>
  </si>
  <si>
    <t>ID da solicitação</t>
  </si>
  <si>
    <t>RES-001</t>
  </si>
  <si>
    <t>Botão a criar</t>
  </si>
  <si>
    <t>Data do pedido</t>
  </si>
  <si>
    <t>Registrar solicitação</t>
  </si>
  <si>
    <t>Professor responsável</t>
  </si>
  <si>
    <t>Ana Lima</t>
  </si>
  <si>
    <t>2A</t>
  </si>
  <si>
    <t>Data de uso</t>
  </si>
  <si>
    <t>Código do equipamento</t>
  </si>
  <si>
    <t>Quantidade</t>
  </si>
  <si>
    <t>Observação</t>
  </si>
  <si>
    <t>EQ-10</t>
  </si>
  <si>
    <t>Usar cabo HDMI</t>
  </si>
  <si>
    <t>EQ-03</t>
  </si>
  <si>
    <t>Carregados</t>
  </si>
  <si>
    <t>Tabela 1 — Solicitações</t>
  </si>
  <si>
    <t>Cada linha representa uma reserva. A coluna ID é a ligação com a tabela de itens.</t>
  </si>
  <si>
    <t>ID_Solicitacao</t>
  </si>
  <si>
    <t>Data_Pedido</t>
  </si>
  <si>
    <t>Professor</t>
  </si>
  <si>
    <t>Data_Uso</t>
  </si>
  <si>
    <t>RES-002</t>
  </si>
  <si>
    <t>Bruno Souza</t>
  </si>
  <si>
    <t>1B</t>
  </si>
  <si>
    <t>Tabela 2 — Itens da solicitação</t>
  </si>
  <si>
    <t>Cada linha registra o código do equipamento. A coluna Equipamento deve ser preenchida por busca na tblEquipamentos.</t>
  </si>
  <si>
    <t>Codigo_Equipamento</t>
  </si>
  <si>
    <t>Observacao</t>
  </si>
  <si>
    <t>Projetor</t>
  </si>
  <si>
    <t>Notebook</t>
  </si>
  <si>
    <t>EQ-18</t>
  </si>
  <si>
    <t>Kit Robótica</t>
  </si>
  <si>
    <t>Sala de robótica</t>
  </si>
  <si>
    <t>EQ-21</t>
  </si>
  <si>
    <t>Multímetro</t>
  </si>
  <si>
    <t>Bancada 2</t>
  </si>
  <si>
    <t>Tabela 3 — Catálogo de equipamentos</t>
  </si>
  <si>
    <t>tblEquipamentos é a fonte de códigos e nomes. Ela evita cadastrar o mesmo equipamento com nomes diferentes.</t>
  </si>
  <si>
    <t>1A</t>
  </si>
  <si>
    <t>2B</t>
  </si>
  <si>
    <t>EQ-25</t>
  </si>
  <si>
    <t>Caixa de som</t>
  </si>
  <si>
    <t>3A</t>
  </si>
  <si>
    <t>3B</t>
  </si>
  <si>
    <t>RES-0012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</si>
</sst>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R$&quot;\ * #,##0_-;\-&quot;R$&quot;\ * #,##0_-;_-&quot;R$&quot;\ * &quot;-&quot;_-;_-@_-"/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</numFmts>
  <fonts count="9" x14ac:knownFonts="1">
    <font>
      <sz val="10"/>
      <name val="Arial"/>
      <family val="2"/>
    </font>
    <font>
      <sz val="10"/>
      <name val="Arial"/>
    </font>
    <font>
      <sz val="10"/>
      <color rgb="FF1F1F1F"/>
      <name val="Arial"/>
    </font>
    <font>
      <b/>
      <sz val="16"/>
      <color rgb="FF1F4E78"/>
      <name val="Arial"/>
    </font>
    <font>
      <i/>
      <sz val="10"/>
      <color rgb="FF666666"/>
      <name val="Arial"/>
    </font>
    <font>
      <b/>
      <sz val="10"/>
      <color rgb="FF1F4E78"/>
      <name val="Arial"/>
    </font>
    <font>
      <b/>
      <sz val="18"/>
      <color rgb="FF375623"/>
      <name val="Arial"/>
    </font>
    <font>
      <b/>
      <sz val="10"/>
      <color rgb="FF404040"/>
      <name val="Arial"/>
    </font>
    <font>
      <b/>
      <sz val="10"/>
      <color rgb="FFFFFFFF"/>
      <name val="Arial"/>
    </font>
  </fonts>
  <fills count="7">
    <fill>
      <patternFill patternType="none"/>
    </fill>
    <fill>
      <patternFill patternType="gray125"/>
    </fill>
    <fill>
      <patternFill patternType="solid">
        <fgColor rgb="FFD9EAF7"/>
      </patternFill>
    </fill>
    <fill>
      <patternFill patternType="solid">
        <fgColor rgb="FFE2F0D9"/>
      </patternFill>
    </fill>
    <fill>
      <patternFill patternType="solid">
        <fgColor rgb="FFFFF2CC"/>
      </patternFill>
    </fill>
    <fill>
      <patternFill patternType="solid">
        <fgColor rgb="FFE7E6E6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rgb="FFA9D08E"/>
      </left>
      <right style="thin">
        <color rgb="FFA9D08E"/>
      </right>
      <top style="thin">
        <color rgb="FFA9D08E"/>
      </top>
      <bottom style="thin">
        <color rgb="FFA9D08E"/>
      </bottom>
      <diagonal/>
    </border>
    <border>
      <left style="thin">
        <color rgb="FFC9B458"/>
      </left>
      <right style="thin">
        <color rgb="FFC9B458"/>
      </right>
      <top style="thin">
        <color rgb="FFC9B458"/>
      </top>
      <bottom style="thin">
        <color rgb="FFC9B458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rgb="FF1F4E78"/>
      </left>
      <right/>
      <top style="thin">
        <color rgb="FF1F4E78"/>
      </top>
      <bottom style="thin">
        <color rgb="FF1F4E78"/>
      </bottom>
      <diagonal/>
    </border>
    <border>
      <left/>
      <right/>
      <top style="thin">
        <color rgb="FF1F4E78"/>
      </top>
      <bottom style="thin">
        <color rgb="FF1F4E78"/>
      </bottom>
      <diagonal/>
    </border>
    <border>
      <left/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E6D690"/>
      </left>
      <right style="thin">
        <color rgb="FFE6D690"/>
      </right>
      <top style="thin">
        <color rgb="FFE6D690"/>
      </top>
      <bottom style="thin">
        <color rgb="FFE6D690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/>
      <right/>
      <top style="thin">
        <color rgb="FFA9D08E"/>
      </top>
      <bottom/>
      <diagonal/>
    </border>
    <border>
      <left/>
      <right style="thin">
        <color rgb="FFA9D08E"/>
      </right>
      <top style="thin">
        <color rgb="FFA9D08E"/>
      </top>
      <bottom/>
      <diagonal/>
    </border>
    <border>
      <left style="thin">
        <color rgb="FFA9D08E"/>
      </left>
      <right/>
      <top/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 style="thin">
        <color rgb="FFA9D08E"/>
      </right>
      <top/>
      <bottom style="thin">
        <color rgb="FFA9D08E"/>
      </bottom>
      <diagonal/>
    </border>
  </borders>
  <cellStyleXfs count="6">
    <xf numFmtId="0" fontId="0" fillId="0" borderId="0"/>
    <xf numFmtId="43" fontId="1" fillId="0" borderId="0"/>
    <xf numFmtId="41" fontId="1" fillId="0" borderId="0"/>
    <xf numFmtId="44" fontId="1" fillId="0" borderId="0"/>
    <xf numFmtId="42" fontId="1" fillId="0" borderId="0"/>
    <xf numFmtId="9" fontId="1" fillId="0" borderId="0"/>
  </cellStyleXfs>
  <cellXfs count="24">
    <xf numFmtId="0" fontId="0" fillId="0" borderId="0" xfId="0" applyAlignment="1"/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2" fillId="4" borderId="2" xfId="0" applyFont="1" applyFill="1" applyBorder="1" applyAlignment="1">
      <alignment vertical="center"/>
    </xf>
    <xf numFmtId="0" fontId="5" fillId="5" borderId="3" xfId="0" applyFont="1" applyFill="1" applyBorder="1" applyAlignment="1">
      <alignment horizontal="center" vertical="center"/>
    </xf>
    <xf numFmtId="14" fontId="2" fillId="4" borderId="2" xfId="0" applyNumberFormat="1" applyFont="1" applyFill="1" applyBorder="1" applyAlignment="1">
      <alignment vertical="center"/>
    </xf>
    <xf numFmtId="0" fontId="7" fillId="5" borderId="4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vertical="center"/>
    </xf>
    <xf numFmtId="0" fontId="2" fillId="0" borderId="9" xfId="0" applyFont="1" applyBorder="1" applyAlignment="1">
      <alignment vertical="center"/>
    </xf>
    <xf numFmtId="14" fontId="2" fillId="0" borderId="9" xfId="0" applyNumberFormat="1" applyFont="1" applyBorder="1" applyAlignment="1">
      <alignment vertical="center"/>
    </xf>
    <xf numFmtId="0" fontId="8" fillId="6" borderId="1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6">
    <cellStyle name="Comma" xfId="1" xr:uid="{00000000-0005-0000-0000-000001000000}"/>
    <cellStyle name="Comma [0]" xfId="2" xr:uid="{00000000-0005-0000-0000-000002000000}"/>
    <cellStyle name="Currency" xfId="3" xr:uid="{00000000-0005-0000-0000-000003000000}"/>
    <cellStyle name="Currency [0]" xfId="4" xr:uid="{00000000-0005-0000-0000-000004000000}"/>
    <cellStyle name="Normal" xfId="0" builtinId="0"/>
    <cellStyle name="Percent" xfId="5" xr:uid="{00000000-0005-0000-0000-000005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08E"/>
      <rgbColor rgb="FF808080"/>
      <rgbColor rgb="FF9999FF"/>
      <rgbColor rgb="FF993366"/>
      <rgbColor rgb="FFFFF2CC"/>
      <rgbColor rgb="FFD9EA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7E6E6"/>
      <rgbColor rgb="FFE2F0D9"/>
      <rgbColor rgb="FFFFFF99"/>
      <rgbColor rgb="FF99CCFF"/>
      <rgbColor rgb="FFFF99CC"/>
      <rgbColor rgb="FFCC99FF"/>
      <rgbColor rgb="FFE6D690"/>
      <rgbColor rgb="FF3366FF"/>
      <rgbColor rgb="FF33CCCC"/>
      <rgbColor rgb="FFC9B458"/>
      <rgbColor rgb="FFFFCC00"/>
      <rgbColor rgb="FFFF9900"/>
      <rgbColor rgb="FFFF6600"/>
      <rgbColor rgb="FF666666"/>
      <rgbColor rgb="FFA6A6A6"/>
      <rgbColor rgb="FF003366"/>
      <rgbColor rgb="FF339966"/>
      <rgbColor rgb="FF375623"/>
      <rgbColor rgb="FF1F1F1F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pt-BR"/>
              <a:t>Itens por equipamento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Dashboard!$F$9</c:f>
              <c:strCache>
                <c:ptCount val="1"/>
                <c:pt idx="0">
                  <c:v>Quantidade de itens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Dashboard!$E$10:$E$14</c:f>
              <c:strCache>
                <c:ptCount val="5"/>
                <c:pt idx="0">
                  <c:v>Projetor</c:v>
                </c:pt>
                <c:pt idx="1">
                  <c:v>Notebook</c:v>
                </c:pt>
                <c:pt idx="2">
                  <c:v>Kit Robótica</c:v>
                </c:pt>
                <c:pt idx="3">
                  <c:v>Multímetro</c:v>
                </c:pt>
                <c:pt idx="4">
                  <c:v>Caixa de som</c:v>
                </c:pt>
              </c:strCache>
            </c:strRef>
          </c:cat>
          <c:val>
            <c:numRef>
              <c:f>Dashboard!$F$10:$F$14</c:f>
              <c:numCache>
                <c:formatCode>General</c:formatCode>
                <c:ptCount val="5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3">
                  <c:v>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7-47FB-9EF3-420C1BF68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Equipamento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Quantidade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17</xdr:row>
      <xdr:rowOff>0</xdr:rowOff>
    </xdr:from>
    <xdr:ext cx="468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9525</xdr:rowOff>
        </xdr:from>
        <xdr:to>
          <xdr:col>6</xdr:col>
          <xdr:colOff>9525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ResumoTurmas" displayName="tblResumoTurmas" ref="A9:B15">
  <autoFilter ref="A9:B15" xr:uid="{00000000-0009-0000-0100-000001000000}"/>
  <tableColumns count="2">
    <tableColumn id="1" xr3:uid="{00000000-0010-0000-0000-000001000000}" name="Turma"/>
    <tableColumn id="2" xr3:uid="{00000000-0010-0000-0000-000002000000}" name="Quantidade de solicitaçõ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sumoEquipamentos" displayName="tblResumoEquipamentos" ref="E9:F14">
  <autoFilter ref="E9:F14" xr:uid="{00000000-0009-0000-0100-000002000000}"/>
  <tableColumns count="2">
    <tableColumn id="5" xr3:uid="{00000000-0010-0000-0100-000005000000}" name="Equipamento"/>
    <tableColumn id="6" xr3:uid="{00000000-0010-0000-0100-000006000000}" name="Quantidade de ite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olicitacoes" displayName="tblSolicitacoes" ref="A5:E8">
  <autoFilter ref="A5:E8" xr:uid="{00000000-0009-0000-0100-000003000000}"/>
  <tableColumns count="5">
    <tableColumn id="1" xr3:uid="{00000000-0010-0000-0200-000001000000}" name="ID_Solicitacao"/>
    <tableColumn id="2" xr3:uid="{00000000-0010-0000-0200-000002000000}" name="Data_Pedido"/>
    <tableColumn id="3" xr3:uid="{00000000-0010-0000-0200-000003000000}" name="Professor"/>
    <tableColumn id="4" xr3:uid="{00000000-0010-0000-0200-000004000000}" name="Turma"/>
    <tableColumn id="5" xr3:uid="{00000000-0010-0000-0200-000005000000}" name="Data_Uso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ItensSolicitacao" displayName="tblItensSolicitacao" ref="A5:E11">
  <autoFilter ref="A5:E11" xr:uid="{00000000-0009-0000-0100-000004000000}"/>
  <tableColumns count="5">
    <tableColumn id="1" xr3:uid="{00000000-0010-0000-0300-000001000000}" name="ID_Solicitacao"/>
    <tableColumn id="2" xr3:uid="{00000000-0010-0000-0300-000002000000}" name="Codigo_Equipamento"/>
    <tableColumn id="3" xr3:uid="{00000000-0010-0000-0300-000003000000}" name="Equipamento"/>
    <tableColumn id="4" xr3:uid="{00000000-0010-0000-0300-000004000000}" name="Quantidade"/>
    <tableColumn id="5" xr3:uid="{00000000-0010-0000-0300-000005000000}" name="Observacao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Equipamentos" displayName="tblEquipamentos" ref="A5:B10" totalsRowShown="0">
  <tableColumns count="2">
    <tableColumn id="1" xr3:uid="{00000000-0010-0000-0400-000001000000}" name="Codigo_Equipamento"/>
    <tableColumn id="2" xr3:uid="{00000000-0010-0000-0400-000002000000}" name="Equipamento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urmas" displayName="tblTurmas" ref="D5:D10" totalsRowShown="0">
  <tableColumns count="1">
    <tableColumn id="1" xr3:uid="{00000000-0010-0000-0500-000001000000}" name="Turma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</a:schemeClr>
            </a:gs>
            <a:gs pos="50000">
              <a:schemeClr val="phClr">
                <a:tint val="73000"/>
                <a:lumMod val="105000"/>
              </a:schemeClr>
            </a:gs>
            <a:gs pos="100000">
              <a:schemeClr val="phClr">
                <a:tint val="81000"/>
                <a:lumMod val="105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tint val="94000"/>
                <a:lumMod val="102000"/>
              </a:schemeClr>
            </a:gs>
            <a:gs pos="50000">
              <a:schemeClr val="phClr">
                <a:shade val="100000"/>
                <a:lumMod val="100000"/>
              </a:schemeClr>
            </a:gs>
            <a:gs pos="100000">
              <a:schemeClr val="phClr">
                <a:shade val="78000"/>
                <a:lumMod val="99000"/>
              </a:schemeClr>
            </a:gs>
          </a:gsLst>
          <a:lin ang="5400000" scaled="0"/>
          <a:tileRect/>
        </a:gra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1048576"/>
  <sheetViews>
    <sheetView showGridLines="0" tabSelected="1" workbookViewId="0">
      <selection activeCell="A12" sqref="A12"/>
    </sheetView>
  </sheetViews>
  <sheetFormatPr defaultColWidth="9.7109375" defaultRowHeight="12.75" x14ac:dyDescent="0.2"/>
  <cols>
    <col min="1" max="1" width="28.42578125" style="1" customWidth="1"/>
    <col min="2" max="2" width="15.85546875" style="1" customWidth="1"/>
    <col min="3" max="3" width="4.5703125" style="1" customWidth="1"/>
    <col min="4" max="4" width="27.28515625" style="1" customWidth="1"/>
    <col min="5" max="5" width="15.85546875" style="1" customWidth="1"/>
    <col min="6" max="6" width="4.5703125" style="1" customWidth="1"/>
    <col min="7" max="9" width="18.140625" style="1" customWidth="1"/>
  </cols>
  <sheetData>
    <row r="1" spans="1:10" ht="15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ht="27.95" customHeight="1" x14ac:dyDescent="0.2">
      <c r="A2" s="3" t="s">
        <v>0</v>
      </c>
      <c r="B2" s="2"/>
      <c r="C2" s="2"/>
      <c r="D2" s="2"/>
      <c r="E2" s="2"/>
      <c r="F2" s="2"/>
      <c r="G2" s="2"/>
      <c r="H2" s="2"/>
      <c r="I2" s="2"/>
      <c r="J2" s="2"/>
    </row>
    <row r="3" spans="1:10" ht="15" customHeight="1" x14ac:dyDescent="0.2">
      <c r="A3" s="4" t="s">
        <v>1</v>
      </c>
      <c r="B3" s="2"/>
      <c r="C3" s="2"/>
      <c r="D3" s="2"/>
      <c r="E3" s="2"/>
      <c r="F3" s="2"/>
      <c r="G3" s="2"/>
      <c r="H3" s="2"/>
      <c r="I3" s="2"/>
      <c r="J3" s="2"/>
    </row>
    <row r="4" spans="1:10" ht="15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ht="15" customHeight="1" x14ac:dyDescent="0.2">
      <c r="A5" s="5" t="s">
        <v>2</v>
      </c>
      <c r="B5" s="5"/>
      <c r="C5" s="5"/>
      <c r="D5" s="5" t="s">
        <v>3</v>
      </c>
      <c r="E5" s="5"/>
      <c r="F5" s="5"/>
      <c r="G5" s="5" t="s">
        <v>4</v>
      </c>
      <c r="H5" s="5"/>
      <c r="I5" s="5"/>
      <c r="J5" s="2"/>
    </row>
    <row r="6" spans="1:10" ht="15" customHeight="1" x14ac:dyDescent="0.2">
      <c r="A6" s="18">
        <f>COUNTA(tblSolicitacoes[ID_Solicitacao])</f>
        <v>3</v>
      </c>
      <c r="B6" s="19"/>
      <c r="C6" s="20"/>
      <c r="D6" s="18">
        <f>SUM(tblItensSolicitacao[Quantidade])</f>
        <v>14</v>
      </c>
      <c r="E6" s="19"/>
      <c r="F6" s="20"/>
      <c r="G6" s="18">
        <f ca="1">COUNTIFS(tblSolicitacoes[Data_Uso],"&gt;="&amp;TODAY())</f>
        <v>3</v>
      </c>
      <c r="H6" s="19"/>
      <c r="I6" s="20"/>
      <c r="J6" s="2"/>
    </row>
    <row r="7" spans="1:10" ht="15" customHeight="1" x14ac:dyDescent="0.2">
      <c r="A7" s="21"/>
      <c r="B7" s="22"/>
      <c r="C7" s="23"/>
      <c r="D7" s="21"/>
      <c r="E7" s="22"/>
      <c r="F7" s="23"/>
      <c r="G7" s="21"/>
      <c r="H7" s="22"/>
      <c r="I7" s="23"/>
      <c r="J7" s="2"/>
    </row>
    <row r="8" spans="1:10" ht="15" customHeight="1" x14ac:dyDescent="0.2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ht="15" customHeight="1" x14ac:dyDescent="0.2">
      <c r="A9" s="2" t="s">
        <v>5</v>
      </c>
      <c r="B9" s="2" t="s">
        <v>6</v>
      </c>
      <c r="C9" s="2"/>
      <c r="D9" s="2"/>
      <c r="E9" s="2" t="s">
        <v>7</v>
      </c>
      <c r="F9" s="2" t="s">
        <v>8</v>
      </c>
      <c r="G9" s="2"/>
      <c r="H9" s="2"/>
      <c r="I9" s="2"/>
      <c r="J9" s="2"/>
    </row>
    <row r="10" spans="1:10" ht="15" customHeight="1" x14ac:dyDescent="0.2">
      <c r="A10" s="2" t="str">
        <f>Cadastros!D6</f>
        <v>1A</v>
      </c>
      <c r="B10" s="2">
        <f>COUNTIF(tblSolicitacoes[Turma],A10)</f>
        <v>0</v>
      </c>
      <c r="C10" s="2"/>
      <c r="D10" s="2"/>
      <c r="E10" s="2" t="str">
        <f>Cadastros!B6</f>
        <v>Projetor</v>
      </c>
      <c r="F10" s="2">
        <f>SUMIF(tblItensSolicitacao[Equipamento],E10,tblItensSolicitacao[Quantidade])</f>
        <v>1</v>
      </c>
      <c r="G10" s="2"/>
      <c r="H10" s="2"/>
      <c r="I10" s="2"/>
      <c r="J10" s="2"/>
    </row>
    <row r="11" spans="1:10" ht="15" customHeight="1" x14ac:dyDescent="0.2">
      <c r="A11" s="2" t="str">
        <f>Cadastros!D7</f>
        <v>1B</v>
      </c>
      <c r="B11" s="2">
        <f>COUNTIF(tblSolicitacoes[Turma],A11)</f>
        <v>1</v>
      </c>
      <c r="C11" s="2"/>
      <c r="D11" s="2"/>
      <c r="E11" s="2" t="str">
        <f>Cadastros!B7</f>
        <v>Notebook</v>
      </c>
      <c r="F11" s="2">
        <f>SUMIF(tblItensSolicitacao[Equipamento],E11,tblItensSolicitacao[Quantidade])</f>
        <v>6</v>
      </c>
      <c r="G11" s="2"/>
      <c r="H11" s="2"/>
      <c r="I11" s="2"/>
      <c r="J11" s="2"/>
    </row>
    <row r="12" spans="1:10" ht="15" customHeight="1" x14ac:dyDescent="0.2">
      <c r="A12" s="4" t="str">
        <f>Cadastros!D8</f>
        <v>2A</v>
      </c>
      <c r="B12" s="2">
        <f>COUNTIF(tblSolicitacoes[Turma],A12)</f>
        <v>2</v>
      </c>
      <c r="C12" s="2"/>
      <c r="D12" s="2"/>
      <c r="E12" s="2" t="str">
        <f>Cadastros!B8</f>
        <v>Kit Robótica</v>
      </c>
      <c r="F12" s="2">
        <f>SUMIF(tblItensSolicitacao[Equipamento],E12,tblItensSolicitacao[Quantidade])</f>
        <v>2</v>
      </c>
      <c r="G12" s="2"/>
      <c r="H12" s="2"/>
      <c r="I12" s="2"/>
      <c r="J12" s="2"/>
    </row>
    <row r="13" spans="1:10" ht="15" customHeight="1" x14ac:dyDescent="0.2">
      <c r="A13" s="2" t="str">
        <f>Cadastros!D9</f>
        <v>2B</v>
      </c>
      <c r="B13" s="2">
        <f>COUNTIF(tblSolicitacoes[Turma],A13)</f>
        <v>0</v>
      </c>
      <c r="C13" s="2"/>
      <c r="D13" s="2"/>
      <c r="E13" s="2" t="str">
        <f>Cadastros!B9</f>
        <v>Multímetro</v>
      </c>
      <c r="F13" s="2">
        <f>SUMIF(tblItensSolicitacao[Equipamento],E13,tblItensSolicitacao[Quantidade])</f>
        <v>5</v>
      </c>
      <c r="G13" s="2"/>
      <c r="H13" s="2"/>
      <c r="I13" s="2"/>
      <c r="J13" s="2"/>
    </row>
    <row r="14" spans="1:10" ht="15" customHeight="1" x14ac:dyDescent="0.2">
      <c r="A14" s="2" t="str">
        <f>Cadastros!D10</f>
        <v>3A</v>
      </c>
      <c r="B14" s="2">
        <f>COUNTIF(tblSolicitacoes[Turma],A14)</f>
        <v>0</v>
      </c>
      <c r="C14" s="2"/>
      <c r="D14" s="2"/>
      <c r="E14" s="2" t="str">
        <f>Cadastros!B10</f>
        <v>Caixa de som</v>
      </c>
      <c r="F14" s="2">
        <f>SUMIF(tblItensSolicitacao[Equipamento],E14,tblItensSolicitacao[Quantidade])</f>
        <v>0</v>
      </c>
      <c r="G14" s="2"/>
      <c r="H14" s="2"/>
      <c r="I14" s="2"/>
      <c r="J14" s="2"/>
    </row>
    <row r="15" spans="1:10" ht="15" customHeight="1" x14ac:dyDescent="0.2">
      <c r="A15" s="2" t="str">
        <f>Cadastros!D11</f>
        <v>3B</v>
      </c>
      <c r="B15" s="2">
        <f>COUNTIF(tblSolicitacoes[Turma],A15)</f>
        <v>0</v>
      </c>
      <c r="C15" s="2"/>
      <c r="D15" s="2"/>
      <c r="E15" s="2"/>
      <c r="F15" s="2"/>
      <c r="G15" s="2"/>
      <c r="H15" s="2"/>
      <c r="I15" s="2"/>
      <c r="J15" s="2"/>
    </row>
    <row r="16" spans="1:10" ht="1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ht="1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ht="1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ht="1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ht="1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ht="1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ht="1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0" ht="1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0" ht="1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0" ht="1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ht="1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 ht="1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0" ht="1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spans="1:10" ht="1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spans="1:10" ht="1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0" ht="1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</row>
    <row r="32" spans="1:10" ht="1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</row>
    <row r="33" spans="1:10" ht="1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</row>
    <row r="34" spans="1:10" ht="1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</row>
    <row r="35" spans="1:10" ht="1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</row>
    <row r="36" spans="1:10" ht="1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</row>
    <row r="37" spans="1:10" ht="1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 ht="1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ht="1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ht="1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ht="1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ht="1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</row>
    <row r="43" spans="1:10" ht="1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</row>
    <row r="44" spans="1:10" ht="1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</row>
    <row r="45" spans="1:10" ht="1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10" ht="1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</row>
    <row r="47" spans="1:10" ht="1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</row>
    <row r="48" spans="1:10" ht="1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</row>
    <row r="49" spans="1:10" ht="1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</row>
    <row r="50" spans="1:10" ht="1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</row>
    <row r="51" spans="1:10" ht="1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</row>
    <row r="52" spans="1:10" ht="1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</row>
    <row r="53" spans="1:10" ht="1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0" ht="1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0" ht="1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</row>
    <row r="56" spans="1:10" ht="1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</row>
    <row r="57" spans="1:10" ht="1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</row>
    <row r="58" spans="1:10" ht="1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</row>
    <row r="59" spans="1:10" ht="1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</row>
    <row r="60" spans="1:10" ht="1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0" ht="1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0" ht="1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0" ht="1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0" ht="1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 ht="1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 ht="1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 ht="1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 ht="1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 ht="1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 ht="1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 ht="1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 ht="1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</row>
    <row r="73" spans="1:10" ht="1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</row>
    <row r="74" spans="1:10" ht="1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</row>
    <row r="75" spans="1:10" ht="1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 ht="1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 ht="1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 ht="1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 ht="1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 ht="1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 ht="1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 ht="1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</row>
    <row r="83" spans="1:10" ht="1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</row>
    <row r="84" spans="1:10" ht="1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</row>
    <row r="85" spans="1:10" ht="1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</row>
    <row r="86" spans="1:10" ht="1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</row>
    <row r="87" spans="1:10" ht="1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</row>
    <row r="88" spans="1:10" ht="1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</row>
    <row r="89" spans="1:10" ht="1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</row>
    <row r="90" spans="1:10" ht="1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</row>
    <row r="91" spans="1:10" ht="1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</row>
    <row r="92" spans="1:10" ht="1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</row>
    <row r="93" spans="1:10" ht="1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</row>
    <row r="94" spans="1:10" ht="1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</row>
    <row r="95" spans="1:10" ht="1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</row>
    <row r="96" spans="1:10" ht="1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</row>
    <row r="97" spans="1:10" ht="1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</row>
    <row r="98" spans="1:10" ht="1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</row>
    <row r="99" spans="1:10" ht="1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</row>
    <row r="100" spans="1:10" ht="1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</row>
    <row r="101" spans="1:10" ht="1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</row>
    <row r="102" spans="1:10" ht="1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</row>
    <row r="103" spans="1:10" ht="1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</row>
    <row r="104" spans="1:10" ht="1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</row>
    <row r="105" spans="1:10" ht="1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</row>
    <row r="106" spans="1:10" ht="1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</row>
    <row r="107" spans="1:10" ht="1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</row>
    <row r="108" spans="1:10" ht="1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</row>
    <row r="109" spans="1:10" ht="1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</row>
    <row r="110" spans="1:10" ht="1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</row>
    <row r="111" spans="1:10" ht="1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</row>
    <row r="112" spans="1:10" ht="1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</row>
    <row r="113" spans="1:10" ht="1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</row>
    <row r="114" spans="1:10" ht="1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</row>
    <row r="115" spans="1:10" ht="1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</row>
    <row r="116" spans="1:10" ht="1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</row>
    <row r="117" spans="1:10" ht="1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</row>
    <row r="118" spans="1:10" ht="1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</row>
    <row r="119" spans="1:10" ht="1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</row>
    <row r="120" spans="1:10" ht="1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</row>
    <row r="121" spans="1:10" ht="1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</row>
    <row r="122" spans="1:10" ht="1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</row>
    <row r="123" spans="1:10" ht="1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</row>
    <row r="124" spans="1:10" ht="1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</row>
    <row r="125" spans="1:10" ht="1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</row>
    <row r="126" spans="1:10" ht="1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</row>
    <row r="127" spans="1:10" ht="1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</row>
    <row r="128" spans="1:10" ht="1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</row>
    <row r="129" spans="1:10" ht="1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</row>
    <row r="130" spans="1:10" ht="1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</row>
    <row r="131" spans="1:10" ht="1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</row>
    <row r="132" spans="1:10" ht="1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</row>
    <row r="133" spans="1:10" ht="1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</row>
    <row r="134" spans="1:10" ht="1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</row>
    <row r="135" spans="1:10" ht="1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</row>
    <row r="136" spans="1:10" ht="1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</row>
    <row r="137" spans="1:10" ht="1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</row>
    <row r="138" spans="1:10" ht="1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</row>
    <row r="139" spans="1:10" ht="1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</row>
    <row r="140" spans="1:10" ht="1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</row>
    <row r="141" spans="1:10" ht="1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</row>
    <row r="142" spans="1:10" ht="1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</row>
    <row r="143" spans="1:10" ht="1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</row>
    <row r="144" spans="1:10" ht="1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</row>
    <row r="145" spans="1:10" ht="1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</row>
    <row r="146" spans="1:10" ht="1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</row>
    <row r="147" spans="1:10" ht="1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</row>
    <row r="148" spans="1:10" ht="1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</row>
    <row r="149" spans="1:10" ht="1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</row>
    <row r="150" spans="1:10" ht="1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</row>
    <row r="151" spans="1:10" ht="1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</row>
    <row r="152" spans="1:10" ht="1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</row>
    <row r="153" spans="1:10" ht="1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</row>
    <row r="154" spans="1:10" ht="1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</row>
    <row r="155" spans="1:10" ht="1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</row>
    <row r="156" spans="1:10" ht="1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</row>
    <row r="157" spans="1:10" ht="1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</row>
    <row r="158" spans="1:10" ht="1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</row>
    <row r="159" spans="1:10" ht="1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</row>
    <row r="160" spans="1:10" ht="1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</row>
    <row r="161" spans="1:10" ht="1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</row>
    <row r="162" spans="1:10" ht="1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</row>
    <row r="163" spans="1:10" ht="1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</row>
    <row r="164" spans="1:10" ht="1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</row>
    <row r="165" spans="1:10" ht="1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</row>
    <row r="166" spans="1:10" ht="1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</row>
    <row r="167" spans="1:10" ht="1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</row>
    <row r="168" spans="1:10" ht="1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</row>
    <row r="169" spans="1:10" ht="1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</row>
    <row r="170" spans="1:10" ht="1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</row>
    <row r="171" spans="1:10" ht="1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</row>
    <row r="172" spans="1:10" ht="1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</row>
    <row r="173" spans="1:10" ht="1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</row>
    <row r="174" spans="1:10" ht="1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</row>
    <row r="175" spans="1:10" ht="1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</row>
    <row r="176" spans="1:10" ht="1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</row>
    <row r="177" spans="1:10" ht="1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</row>
    <row r="178" spans="1:10" ht="1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</row>
    <row r="179" spans="1:10" ht="1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</row>
    <row r="180" spans="1:10" ht="1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</row>
    <row r="181" spans="1:10" ht="1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</row>
    <row r="182" spans="1:10" ht="1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</row>
    <row r="183" spans="1:10" ht="1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</row>
    <row r="184" spans="1:10" ht="1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</row>
    <row r="185" spans="1:10" ht="1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</row>
    <row r="186" spans="1:10" ht="1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</row>
    <row r="187" spans="1:10" ht="1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</row>
    <row r="188" spans="1:10" ht="1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</row>
    <row r="189" spans="1:10" ht="1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</row>
    <row r="190" spans="1:10" ht="1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</row>
    <row r="191" spans="1:10" ht="1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</row>
    <row r="192" spans="1:10" ht="1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</row>
    <row r="193" spans="1:10" ht="1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</row>
    <row r="194" spans="1:10" ht="1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</row>
    <row r="1048571" ht="12.75" customHeight="1" x14ac:dyDescent="0.2"/>
    <row r="1048572" ht="12.75" customHeight="1" x14ac:dyDescent="0.2"/>
    <row r="1048573" ht="12.75" customHeight="1" x14ac:dyDescent="0.2"/>
    <row r="1048574" ht="12.75" customHeight="1" x14ac:dyDescent="0.2"/>
    <row r="1048575" ht="12.75" customHeight="1" x14ac:dyDescent="0.2"/>
    <row r="1048576" ht="12.75" customHeight="1" x14ac:dyDescent="0.2"/>
  </sheetData>
  <mergeCells count="3">
    <mergeCell ref="A6:C7"/>
    <mergeCell ref="G6:I7"/>
    <mergeCell ref="D6:F7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200"/>
  <sheetViews>
    <sheetView showGridLines="0" workbookViewId="0">
      <selection activeCell="D15" sqref="D15"/>
    </sheetView>
  </sheetViews>
  <sheetFormatPr defaultColWidth="9.7109375" defaultRowHeight="12.75" x14ac:dyDescent="0.2"/>
  <cols>
    <col min="1" max="1" width="26.140625" style="1" customWidth="1"/>
    <col min="2" max="2" width="27.28515625" style="1" customWidth="1"/>
    <col min="3" max="3" width="15.85546875" style="1" customWidth="1"/>
    <col min="4" max="4" width="29.5703125" style="1" customWidth="1"/>
    <col min="6" max="6" width="27.28515625" style="1" customWidth="1"/>
  </cols>
  <sheetData>
    <row r="1" spans="1:10" ht="15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ht="27.95" customHeight="1" x14ac:dyDescent="0.2">
      <c r="A2" s="3" t="s">
        <v>9</v>
      </c>
      <c r="B2" s="2"/>
      <c r="C2" s="2"/>
      <c r="D2" s="2"/>
      <c r="E2" s="2"/>
      <c r="F2" s="2"/>
      <c r="G2" s="2"/>
      <c r="H2" s="2"/>
      <c r="I2" s="2"/>
      <c r="J2" s="2"/>
    </row>
    <row r="3" spans="1:10" ht="15" customHeight="1" x14ac:dyDescent="0.2">
      <c r="A3" s="4" t="s">
        <v>10</v>
      </c>
      <c r="B3" s="2"/>
      <c r="C3" s="2"/>
      <c r="D3" s="2"/>
      <c r="E3" s="2"/>
      <c r="F3" s="2"/>
      <c r="G3" s="2"/>
      <c r="H3" s="2"/>
      <c r="I3" s="2"/>
      <c r="J3" s="2"/>
    </row>
    <row r="4" spans="1:10" ht="15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ht="15" customHeight="1" x14ac:dyDescent="0.2">
      <c r="A5" s="6" t="s">
        <v>11</v>
      </c>
      <c r="B5" s="6"/>
      <c r="C5" s="6"/>
      <c r="D5" s="2"/>
      <c r="E5" s="2"/>
      <c r="F5" s="2"/>
      <c r="G5" s="2"/>
      <c r="H5" s="2"/>
      <c r="I5" s="2"/>
      <c r="J5" s="2"/>
    </row>
    <row r="6" spans="1:10" ht="15" customHeight="1" x14ac:dyDescent="0.2">
      <c r="A6" s="2" t="s">
        <v>12</v>
      </c>
      <c r="B6" s="7"/>
      <c r="C6" s="2"/>
      <c r="D6" s="2"/>
      <c r="E6" s="2"/>
      <c r="F6" s="8" t="s">
        <v>14</v>
      </c>
      <c r="G6" s="2"/>
      <c r="H6" s="2"/>
      <c r="I6" s="2"/>
      <c r="J6" s="2"/>
    </row>
    <row r="7" spans="1:10" ht="15" customHeight="1" x14ac:dyDescent="0.2">
      <c r="A7" s="2" t="s">
        <v>15</v>
      </c>
      <c r="B7" s="9"/>
      <c r="C7" s="2"/>
      <c r="D7" s="2"/>
      <c r="E7" s="2"/>
      <c r="F7" s="10" t="s">
        <v>16</v>
      </c>
      <c r="G7" s="2"/>
      <c r="H7" s="2"/>
      <c r="I7" s="2"/>
      <c r="J7" s="2"/>
    </row>
    <row r="8" spans="1:10" ht="15" customHeight="1" x14ac:dyDescent="0.2">
      <c r="A8" s="2" t="s">
        <v>17</v>
      </c>
      <c r="B8" s="7"/>
      <c r="C8" s="2"/>
      <c r="D8" s="2"/>
      <c r="E8" s="2"/>
      <c r="F8" s="2"/>
      <c r="G8" s="2"/>
      <c r="H8" s="2"/>
      <c r="I8" s="2"/>
      <c r="J8" s="2"/>
    </row>
    <row r="9" spans="1:10" ht="15" customHeight="1" x14ac:dyDescent="0.2">
      <c r="A9" s="2" t="s">
        <v>5</v>
      </c>
      <c r="B9" s="7"/>
      <c r="C9" s="2"/>
      <c r="D9" s="2"/>
      <c r="E9" s="2"/>
      <c r="F9" s="2"/>
      <c r="G9" s="2"/>
      <c r="H9" s="2"/>
      <c r="I9" s="2"/>
      <c r="J9" s="2"/>
    </row>
    <row r="10" spans="1:10" ht="15" customHeight="1" x14ac:dyDescent="0.2">
      <c r="A10" s="2" t="s">
        <v>20</v>
      </c>
      <c r="B10" s="9"/>
      <c r="C10" s="2"/>
      <c r="D10" s="2"/>
      <c r="E10" s="2"/>
      <c r="F10" s="2"/>
      <c r="G10" s="2"/>
      <c r="H10" s="2"/>
      <c r="I10" s="2"/>
      <c r="J10" s="2"/>
    </row>
    <row r="11" spans="1:10" ht="15" customHeight="1" x14ac:dyDescent="0.2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5" customHeight="1" x14ac:dyDescent="0.2">
      <c r="A12" s="11" t="s">
        <v>21</v>
      </c>
      <c r="B12" s="12" t="s">
        <v>7</v>
      </c>
      <c r="C12" s="12" t="s">
        <v>22</v>
      </c>
      <c r="D12" s="13" t="s">
        <v>23</v>
      </c>
      <c r="E12" s="2"/>
      <c r="F12" s="2"/>
      <c r="G12" s="2"/>
      <c r="H12" s="2"/>
      <c r="I12" s="2"/>
      <c r="J12" s="2"/>
    </row>
    <row r="13" spans="1:10" ht="15" customHeight="1" x14ac:dyDescent="0.2">
      <c r="A13" s="14"/>
      <c r="B13" s="14" t="str" cm="1">
        <f t="array" ref="B13">_xlfn.XLOOKUP(A13,listaCodigosEquipamentos,tblEquipamentos[Equipamento],"")</f>
        <v/>
      </c>
      <c r="C13" s="14"/>
      <c r="D13" s="14"/>
      <c r="E13" s="2"/>
      <c r="F13" s="2"/>
      <c r="G13" s="2"/>
      <c r="H13" s="2"/>
      <c r="I13" s="2"/>
      <c r="J13" s="2"/>
    </row>
    <row r="14" spans="1:10" ht="15" customHeight="1" x14ac:dyDescent="0.2">
      <c r="A14" s="14"/>
      <c r="B14" s="14" t="str" cm="1">
        <f t="array" ref="B14">_xlfn.XLOOKUP(A14,listaCodigosEquipamentos,tblEquipamentos[Equipamento],"")</f>
        <v/>
      </c>
      <c r="C14" s="14"/>
      <c r="D14" s="14"/>
      <c r="E14" s="2"/>
      <c r="F14" s="2"/>
      <c r="G14" s="2"/>
      <c r="H14" s="2"/>
      <c r="I14" s="2"/>
      <c r="J14" s="2"/>
    </row>
    <row r="15" spans="1:10" ht="15" customHeight="1" x14ac:dyDescent="0.2">
      <c r="A15" s="14"/>
      <c r="B15" s="14" t="str" cm="1">
        <f t="array" ref="B15">_xlfn.XLOOKUP(A15,listaCodigosEquipamentos,tblEquipamentos[Equipamento],"")</f>
        <v/>
      </c>
      <c r="C15" s="14"/>
      <c r="D15" s="14"/>
      <c r="E15" s="2"/>
      <c r="F15" s="2"/>
      <c r="G15" s="2"/>
      <c r="H15" s="2"/>
      <c r="I15" s="2"/>
      <c r="J15" s="2"/>
    </row>
    <row r="16" spans="1:10" ht="15" customHeight="1" x14ac:dyDescent="0.2">
      <c r="A16" s="14"/>
      <c r="B16" s="14" t="str" cm="1">
        <f t="array" ref="B16">_xlfn.XLOOKUP(A16,listaCodigosEquipamentos,tblEquipamentos[Equipamento],"")</f>
        <v/>
      </c>
      <c r="C16" s="14"/>
      <c r="D16" s="14"/>
      <c r="E16" s="2"/>
      <c r="F16" s="2"/>
      <c r="G16" s="2"/>
      <c r="H16" s="2"/>
      <c r="I16" s="2"/>
      <c r="J16" s="2"/>
    </row>
    <row r="17" spans="1:10" ht="15" customHeight="1" x14ac:dyDescent="0.2">
      <c r="A17" s="14"/>
      <c r="B17" s="14" t="str" cm="1">
        <f t="array" ref="B17">_xlfn.XLOOKUP(A17,listaCodigosEquipamentos,tblEquipamentos[Equipamento],"")</f>
        <v/>
      </c>
      <c r="C17" s="14"/>
      <c r="D17" s="14"/>
      <c r="E17" s="2"/>
      <c r="F17" s="2"/>
      <c r="G17" s="2"/>
      <c r="H17" s="2"/>
      <c r="I17" s="2"/>
      <c r="J17" s="2"/>
    </row>
    <row r="18" spans="1:10" ht="15" customHeight="1" x14ac:dyDescent="0.2">
      <c r="A18" s="14"/>
      <c r="B18" s="14" t="str" cm="1">
        <f t="array" ref="B18">_xlfn.XLOOKUP(A18,listaCodigosEquipamentos,tblEquipamentos[Equipamento],"")</f>
        <v/>
      </c>
      <c r="C18" s="14"/>
      <c r="D18" s="14"/>
      <c r="E18" s="2"/>
      <c r="F18" s="2"/>
      <c r="G18" s="2"/>
      <c r="H18" s="2"/>
      <c r="I18" s="2"/>
      <c r="J18" s="2"/>
    </row>
    <row r="19" spans="1:10" ht="15" customHeight="1" x14ac:dyDescent="0.2">
      <c r="A19" s="14"/>
      <c r="B19" s="14" t="str" cm="1">
        <f t="array" ref="B19">_xlfn.XLOOKUP(A19,listaCodigosEquipamentos,tblEquipamentos[Equipamento],"")</f>
        <v/>
      </c>
      <c r="C19" s="14"/>
      <c r="D19" s="14"/>
      <c r="E19" s="2"/>
      <c r="F19" s="2"/>
      <c r="G19" s="2"/>
      <c r="H19" s="2"/>
      <c r="I19" s="2"/>
      <c r="J19" s="2"/>
    </row>
    <row r="20" spans="1:10" ht="15" customHeight="1" x14ac:dyDescent="0.2">
      <c r="A20" s="14"/>
      <c r="B20" s="14" t="str" cm="1">
        <f t="array" ref="B20">_xlfn.XLOOKUP(A20,listaCodigosEquipamentos,tblEquipamentos[Equipamento],"")</f>
        <v/>
      </c>
      <c r="C20" s="14"/>
      <c r="D20" s="14"/>
      <c r="E20" s="2"/>
      <c r="F20" s="2"/>
      <c r="G20" s="2"/>
      <c r="H20" s="2"/>
      <c r="I20" s="2"/>
      <c r="J20" s="2"/>
    </row>
    <row r="21" spans="1:10" ht="1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ht="1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0" ht="1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0" ht="1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0" ht="1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ht="1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 ht="1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0" ht="1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spans="1:10" ht="1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spans="1:10" ht="1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0" ht="1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</row>
    <row r="32" spans="1:10" ht="1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</row>
    <row r="33" spans="1:10" ht="1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</row>
    <row r="34" spans="1:10" ht="1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</row>
    <row r="35" spans="1:10" ht="1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</row>
    <row r="36" spans="1:10" ht="1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</row>
    <row r="37" spans="1:10" ht="1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 ht="1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ht="1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ht="1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ht="1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ht="1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</row>
    <row r="43" spans="1:10" ht="1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</row>
    <row r="44" spans="1:10" ht="1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</row>
    <row r="45" spans="1:10" ht="1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10" ht="1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</row>
    <row r="47" spans="1:10" ht="1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</row>
    <row r="48" spans="1:10" ht="1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</row>
    <row r="49" spans="1:10" ht="1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</row>
    <row r="50" spans="1:10" ht="1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</row>
    <row r="51" spans="1:10" ht="1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</row>
    <row r="52" spans="1:10" ht="1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</row>
    <row r="53" spans="1:10" ht="1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0" ht="1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0" ht="1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</row>
    <row r="56" spans="1:10" ht="1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</row>
    <row r="57" spans="1:10" ht="1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</row>
    <row r="58" spans="1:10" ht="1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</row>
    <row r="59" spans="1:10" ht="1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</row>
    <row r="60" spans="1:10" ht="1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0" ht="1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0" ht="1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0" ht="1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0" ht="1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 ht="1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 ht="1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 ht="1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 ht="1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 ht="1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 ht="1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 ht="1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 ht="1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</row>
    <row r="73" spans="1:10" ht="1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</row>
    <row r="74" spans="1:10" ht="1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</row>
    <row r="75" spans="1:10" ht="1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 ht="1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 ht="1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 ht="1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 ht="1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 ht="1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 ht="1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 ht="1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</row>
    <row r="83" spans="1:10" ht="1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</row>
    <row r="84" spans="1:10" ht="1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</row>
    <row r="85" spans="1:10" ht="1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</row>
    <row r="86" spans="1:10" ht="1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</row>
    <row r="87" spans="1:10" ht="1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</row>
    <row r="88" spans="1:10" ht="1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</row>
    <row r="89" spans="1:10" ht="1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</row>
    <row r="90" spans="1:10" ht="1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</row>
    <row r="91" spans="1:10" ht="1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</row>
    <row r="92" spans="1:10" ht="1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</row>
    <row r="93" spans="1:10" ht="1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</row>
    <row r="94" spans="1:10" ht="1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</row>
    <row r="95" spans="1:10" ht="1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</row>
    <row r="96" spans="1:10" ht="1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</row>
    <row r="97" spans="1:10" ht="1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</row>
    <row r="98" spans="1:10" ht="1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</row>
    <row r="99" spans="1:10" ht="1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</row>
    <row r="100" spans="1:10" ht="1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</row>
    <row r="101" spans="1:10" ht="1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</row>
    <row r="102" spans="1:10" ht="1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</row>
    <row r="103" spans="1:10" ht="1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</row>
    <row r="104" spans="1:10" ht="1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</row>
    <row r="105" spans="1:10" ht="1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</row>
    <row r="106" spans="1:10" ht="1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</row>
    <row r="107" spans="1:10" ht="1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</row>
    <row r="108" spans="1:10" ht="1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</row>
    <row r="109" spans="1:10" ht="1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</row>
    <row r="110" spans="1:10" ht="1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</row>
    <row r="111" spans="1:10" ht="1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</row>
    <row r="112" spans="1:10" ht="1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</row>
    <row r="113" spans="1:10" ht="1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</row>
    <row r="114" spans="1:10" ht="1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</row>
    <row r="115" spans="1:10" ht="1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</row>
    <row r="116" spans="1:10" ht="1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</row>
    <row r="117" spans="1:10" ht="1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</row>
    <row r="118" spans="1:10" ht="1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</row>
    <row r="119" spans="1:10" ht="1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</row>
    <row r="120" spans="1:10" ht="1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</row>
    <row r="121" spans="1:10" ht="1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</row>
    <row r="122" spans="1:10" ht="1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</row>
    <row r="123" spans="1:10" ht="1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</row>
    <row r="124" spans="1:10" ht="1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</row>
    <row r="125" spans="1:10" ht="1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</row>
    <row r="126" spans="1:10" ht="1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</row>
    <row r="127" spans="1:10" ht="1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</row>
    <row r="128" spans="1:10" ht="1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</row>
    <row r="129" spans="1:10" ht="1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</row>
    <row r="130" spans="1:10" ht="1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</row>
    <row r="131" spans="1:10" ht="1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</row>
    <row r="132" spans="1:10" ht="1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</row>
    <row r="133" spans="1:10" ht="1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</row>
    <row r="134" spans="1:10" ht="1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</row>
    <row r="135" spans="1:10" ht="1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</row>
    <row r="136" spans="1:10" ht="1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</row>
    <row r="137" spans="1:10" ht="1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</row>
    <row r="138" spans="1:10" ht="1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</row>
    <row r="139" spans="1:10" ht="1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</row>
    <row r="140" spans="1:10" ht="1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</row>
    <row r="141" spans="1:10" ht="1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</row>
    <row r="142" spans="1:10" ht="1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</row>
    <row r="143" spans="1:10" ht="1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</row>
    <row r="144" spans="1:10" ht="1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</row>
    <row r="145" spans="1:10" ht="1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</row>
    <row r="146" spans="1:10" ht="1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</row>
    <row r="147" spans="1:10" ht="1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</row>
    <row r="148" spans="1:10" ht="1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</row>
    <row r="149" spans="1:10" ht="1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</row>
    <row r="150" spans="1:10" ht="1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</row>
    <row r="151" spans="1:10" ht="1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</row>
    <row r="152" spans="1:10" ht="1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</row>
    <row r="153" spans="1:10" ht="1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</row>
    <row r="154" spans="1:10" ht="1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</row>
    <row r="155" spans="1:10" ht="1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</row>
    <row r="156" spans="1:10" ht="1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</row>
    <row r="157" spans="1:10" ht="1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</row>
    <row r="158" spans="1:10" ht="1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</row>
    <row r="159" spans="1:10" ht="1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</row>
    <row r="160" spans="1:10" ht="1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</row>
    <row r="161" spans="1:10" ht="1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</row>
    <row r="162" spans="1:10" ht="1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</row>
    <row r="163" spans="1:10" ht="1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</row>
    <row r="164" spans="1:10" ht="1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</row>
    <row r="165" spans="1:10" ht="1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</row>
    <row r="166" spans="1:10" ht="1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</row>
    <row r="167" spans="1:10" ht="1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</row>
    <row r="168" spans="1:10" ht="1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</row>
    <row r="169" spans="1:10" ht="1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</row>
    <row r="170" spans="1:10" ht="1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</row>
    <row r="171" spans="1:10" ht="1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</row>
    <row r="172" spans="1:10" ht="1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</row>
    <row r="173" spans="1:10" ht="1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</row>
    <row r="174" spans="1:10" ht="1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</row>
    <row r="175" spans="1:10" ht="1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</row>
    <row r="176" spans="1:10" ht="1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</row>
    <row r="177" spans="1:10" ht="1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</row>
    <row r="178" spans="1:10" ht="1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</row>
    <row r="179" spans="1:10" ht="1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</row>
    <row r="180" spans="1:10" ht="1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</row>
    <row r="181" spans="1:10" ht="1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</row>
    <row r="182" spans="1:10" ht="1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</row>
    <row r="183" spans="1:10" ht="1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</row>
    <row r="184" spans="1:10" ht="1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</row>
    <row r="185" spans="1:10" ht="1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</row>
    <row r="186" spans="1:10" ht="1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</row>
    <row r="187" spans="1:10" ht="1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</row>
    <row r="188" spans="1:10" ht="1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</row>
    <row r="189" spans="1:10" ht="1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</row>
    <row r="190" spans="1:10" ht="1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</row>
    <row r="191" spans="1:10" ht="1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</row>
    <row r="192" spans="1:10" ht="1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</row>
    <row r="193" spans="1:10" ht="1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</row>
    <row r="194" spans="1:10" ht="1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</row>
    <row r="195" spans="1:10" ht="1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</row>
    <row r="196" spans="1:10" ht="1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</row>
    <row r="197" spans="1:10" ht="1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</row>
    <row r="198" spans="1:10" ht="1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</row>
    <row r="199" spans="1:10" ht="1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</row>
    <row r="200" spans="1:10" ht="1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</row>
  </sheetData>
  <dataValidations count="2">
    <dataValidation type="list" allowBlank="1" errorTitle="Turma inválida" error="Selecione uma turma da lista." sqref="B9" xr:uid="{00000000-0002-0000-0100-000000000000}">
      <formula1>listaTurmas</formula1>
    </dataValidation>
    <dataValidation type="list" allowBlank="1" errorTitle="Código inválido" error="Selecione um código de equipamento da lista." sqref="A13:A20" xr:uid="{00000000-0002-0000-0100-000001000000}">
      <formula1>listaCodigosEquipamentos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gistrarSolicitacao">
                <anchor moveWithCells="1" siz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6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J201"/>
  <sheetViews>
    <sheetView showGridLines="0" workbookViewId="0">
      <pane ySplit="5" topLeftCell="A6" activePane="bottomLeft" state="frozen"/>
      <selection pane="bottomLeft" activeCell="A8" sqref="A8:E8"/>
    </sheetView>
  </sheetViews>
  <sheetFormatPr defaultColWidth="9.7109375" defaultRowHeight="12.75" x14ac:dyDescent="0.2"/>
  <cols>
    <col min="1" max="1" width="22.7109375" style="1" customWidth="1"/>
    <col min="2" max="2" width="17" style="1" customWidth="1"/>
    <col min="3" max="3" width="29.5703125" style="1" customWidth="1"/>
    <col min="4" max="4" width="15.85546875" style="1" customWidth="1"/>
    <col min="5" max="5" width="17" style="1" customWidth="1"/>
  </cols>
  <sheetData>
    <row r="1" spans="1:10" ht="15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ht="27.95" customHeight="1" x14ac:dyDescent="0.2">
      <c r="A2" s="3" t="s">
        <v>28</v>
      </c>
      <c r="B2" s="2"/>
      <c r="C2" s="2"/>
      <c r="D2" s="2"/>
      <c r="E2" s="2"/>
      <c r="F2" s="2"/>
      <c r="G2" s="2"/>
      <c r="H2" s="2"/>
      <c r="I2" s="2"/>
      <c r="J2" s="2"/>
    </row>
    <row r="3" spans="1:10" ht="15" customHeight="1" x14ac:dyDescent="0.2">
      <c r="A3" s="4" t="s">
        <v>29</v>
      </c>
      <c r="B3" s="2"/>
      <c r="C3" s="2"/>
      <c r="D3" s="2"/>
      <c r="E3" s="2"/>
      <c r="F3" s="2"/>
      <c r="G3" s="2"/>
      <c r="H3" s="2"/>
      <c r="I3" s="2"/>
      <c r="J3" s="2"/>
    </row>
    <row r="4" spans="1:10" ht="15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ht="15" customHeight="1" x14ac:dyDescent="0.2">
      <c r="A5" s="11" t="s">
        <v>30</v>
      </c>
      <c r="B5" s="12" t="s">
        <v>31</v>
      </c>
      <c r="C5" s="12" t="s">
        <v>32</v>
      </c>
      <c r="D5" s="12" t="s">
        <v>5</v>
      </c>
      <c r="E5" s="13" t="s">
        <v>33</v>
      </c>
      <c r="F5" s="2"/>
      <c r="G5" s="2"/>
      <c r="H5" s="2"/>
      <c r="I5" s="2"/>
      <c r="J5" s="2"/>
    </row>
    <row r="6" spans="1:10" ht="15" customHeight="1" x14ac:dyDescent="0.2">
      <c r="A6" s="15" t="s">
        <v>13</v>
      </c>
      <c r="B6" s="16">
        <v>46297</v>
      </c>
      <c r="C6" s="15" t="s">
        <v>18</v>
      </c>
      <c r="D6" s="15" t="s">
        <v>19</v>
      </c>
      <c r="E6" s="16">
        <v>46304</v>
      </c>
      <c r="F6" s="2"/>
      <c r="G6" s="2"/>
      <c r="H6" s="2"/>
      <c r="I6" s="2"/>
      <c r="J6" s="2"/>
    </row>
    <row r="7" spans="1:10" ht="15" customHeight="1" x14ac:dyDescent="0.2">
      <c r="A7" s="15" t="s">
        <v>34</v>
      </c>
      <c r="B7" s="16">
        <v>46298</v>
      </c>
      <c r="C7" s="15" t="s">
        <v>35</v>
      </c>
      <c r="D7" s="15" t="s">
        <v>36</v>
      </c>
      <c r="E7" s="16">
        <v>46307</v>
      </c>
      <c r="F7" s="2"/>
      <c r="G7" s="2"/>
      <c r="H7" s="2"/>
      <c r="I7" s="2"/>
      <c r="J7" s="2"/>
    </row>
    <row r="8" spans="1:10" ht="15" customHeight="1" x14ac:dyDescent="0.2">
      <c r="A8" s="15" t="s">
        <v>57</v>
      </c>
      <c r="B8" s="16">
        <v>46297</v>
      </c>
      <c r="C8" s="15" t="s">
        <v>18</v>
      </c>
      <c r="D8" s="15" t="s">
        <v>19</v>
      </c>
      <c r="E8" s="16">
        <v>46304</v>
      </c>
      <c r="F8" s="2"/>
      <c r="G8" s="2"/>
      <c r="H8" s="2"/>
      <c r="I8" s="2"/>
      <c r="J8" s="2"/>
    </row>
    <row r="9" spans="1:10" ht="15" customHeight="1" x14ac:dyDescent="0.2">
      <c r="A9" s="15"/>
      <c r="B9" s="16"/>
      <c r="C9" s="15"/>
      <c r="D9" s="15"/>
      <c r="E9" s="16"/>
      <c r="F9" s="2"/>
      <c r="G9" s="2"/>
      <c r="H9" s="2"/>
      <c r="I9" s="2"/>
      <c r="J9" s="2"/>
    </row>
    <row r="10" spans="1:10" ht="15" customHeight="1" x14ac:dyDescent="0.2">
      <c r="A10" s="15"/>
      <c r="B10" s="16"/>
      <c r="C10" s="15"/>
      <c r="D10" s="15"/>
      <c r="E10" s="16"/>
      <c r="F10" s="2"/>
      <c r="G10" s="2"/>
      <c r="H10" s="2"/>
      <c r="I10" s="2"/>
      <c r="J10" s="2"/>
    </row>
    <row r="11" spans="1:10" ht="15" customHeight="1" x14ac:dyDescent="0.2">
      <c r="A11" s="15"/>
      <c r="B11" s="16"/>
      <c r="C11" s="15"/>
      <c r="D11" s="15"/>
      <c r="E11" s="16"/>
      <c r="F11" s="2"/>
      <c r="G11" s="2"/>
      <c r="H11" s="2"/>
      <c r="I11" s="2"/>
      <c r="J11" s="2"/>
    </row>
    <row r="12" spans="1:10" ht="15" customHeight="1" x14ac:dyDescent="0.2">
      <c r="A12" s="15"/>
      <c r="B12" s="16"/>
      <c r="C12" s="15"/>
      <c r="D12" s="15"/>
      <c r="E12" s="16"/>
      <c r="F12" s="2"/>
      <c r="G12" s="2"/>
      <c r="H12" s="2"/>
      <c r="I12" s="2"/>
      <c r="J12" s="2"/>
    </row>
    <row r="13" spans="1:10" ht="15" customHeight="1" x14ac:dyDescent="0.2">
      <c r="A13" s="15"/>
      <c r="B13" s="16"/>
      <c r="C13" s="15"/>
      <c r="D13" s="15"/>
      <c r="E13" s="16"/>
      <c r="F13" s="2"/>
      <c r="G13" s="2"/>
      <c r="H13" s="2"/>
      <c r="I13" s="2"/>
      <c r="J13" s="2"/>
    </row>
    <row r="14" spans="1:10" ht="15" customHeight="1" x14ac:dyDescent="0.2">
      <c r="A14" s="15"/>
      <c r="B14" s="16"/>
      <c r="C14" s="15"/>
      <c r="D14" s="15"/>
      <c r="E14" s="16"/>
      <c r="F14" s="2"/>
      <c r="G14" s="2"/>
      <c r="H14" s="2"/>
      <c r="I14" s="2"/>
      <c r="J14" s="2"/>
    </row>
    <row r="15" spans="1:10" ht="15" customHeight="1" x14ac:dyDescent="0.2">
      <c r="A15" s="15"/>
      <c r="B15" s="16"/>
      <c r="C15" s="15"/>
      <c r="D15" s="15"/>
      <c r="E15" s="16"/>
      <c r="F15" s="2"/>
      <c r="G15" s="2"/>
      <c r="H15" s="2"/>
      <c r="I15" s="2"/>
      <c r="J15" s="2"/>
    </row>
    <row r="16" spans="1:10" ht="15" customHeight="1" x14ac:dyDescent="0.2">
      <c r="A16" s="15"/>
      <c r="B16" s="16"/>
      <c r="C16" s="15"/>
      <c r="D16" s="15"/>
      <c r="E16" s="16"/>
      <c r="F16" s="2"/>
      <c r="G16" s="2"/>
      <c r="H16" s="2"/>
      <c r="I16" s="2"/>
      <c r="J16" s="2"/>
    </row>
    <row r="17" spans="1:10" ht="15" customHeight="1" x14ac:dyDescent="0.2">
      <c r="A17" s="15"/>
      <c r="B17" s="16"/>
      <c r="C17" s="15"/>
      <c r="D17" s="15"/>
      <c r="E17" s="16"/>
      <c r="F17" s="2"/>
      <c r="G17" s="2"/>
      <c r="H17" s="2"/>
      <c r="I17" s="2"/>
      <c r="J17" s="2"/>
    </row>
    <row r="18" spans="1:10" ht="15" customHeight="1" x14ac:dyDescent="0.2">
      <c r="A18" s="15"/>
      <c r="B18" s="16"/>
      <c r="C18" s="15"/>
      <c r="D18" s="15"/>
      <c r="E18" s="16"/>
      <c r="F18" s="2"/>
      <c r="G18" s="2"/>
      <c r="H18" s="2"/>
      <c r="I18" s="2"/>
      <c r="J18" s="2"/>
    </row>
    <row r="19" spans="1:10" ht="15" customHeight="1" x14ac:dyDescent="0.2">
      <c r="A19" s="15"/>
      <c r="B19" s="16"/>
      <c r="C19" s="15"/>
      <c r="D19" s="15"/>
      <c r="E19" s="16"/>
      <c r="F19" s="2"/>
      <c r="G19" s="2"/>
      <c r="H19" s="2"/>
      <c r="I19" s="2"/>
      <c r="J19" s="2"/>
    </row>
    <row r="20" spans="1:10" ht="15" customHeight="1" x14ac:dyDescent="0.2">
      <c r="A20" s="15"/>
      <c r="B20" s="16"/>
      <c r="C20" s="15"/>
      <c r="D20" s="15"/>
      <c r="E20" s="16"/>
      <c r="F20" s="2"/>
      <c r="G20" s="2"/>
      <c r="H20" s="2"/>
      <c r="I20" s="2"/>
      <c r="J20" s="2"/>
    </row>
    <row r="21" spans="1:10" ht="15" customHeight="1" x14ac:dyDescent="0.2">
      <c r="A21" s="15"/>
      <c r="B21" s="16"/>
      <c r="C21" s="15"/>
      <c r="D21" s="15"/>
      <c r="E21" s="16"/>
      <c r="F21" s="2"/>
      <c r="G21" s="2"/>
      <c r="H21" s="2"/>
      <c r="I21" s="2"/>
      <c r="J21" s="2"/>
    </row>
    <row r="22" spans="1:10" ht="15" customHeight="1" x14ac:dyDescent="0.2">
      <c r="A22" s="15"/>
      <c r="B22" s="16"/>
      <c r="C22" s="15"/>
      <c r="D22" s="15"/>
      <c r="E22" s="16"/>
      <c r="F22" s="2"/>
      <c r="G22" s="2"/>
      <c r="H22" s="2"/>
      <c r="I22" s="2"/>
      <c r="J22" s="2"/>
    </row>
    <row r="23" spans="1:10" ht="15" customHeight="1" x14ac:dyDescent="0.2">
      <c r="A23" s="15"/>
      <c r="B23" s="16"/>
      <c r="C23" s="15"/>
      <c r="D23" s="15"/>
      <c r="E23" s="16"/>
      <c r="F23" s="2"/>
      <c r="G23" s="2"/>
      <c r="H23" s="2"/>
      <c r="I23" s="2"/>
      <c r="J23" s="2"/>
    </row>
    <row r="24" spans="1:10" ht="15" customHeight="1" x14ac:dyDescent="0.2">
      <c r="A24" s="15"/>
      <c r="B24" s="16"/>
      <c r="C24" s="15"/>
      <c r="D24" s="15"/>
      <c r="E24" s="16"/>
      <c r="F24" s="2"/>
      <c r="G24" s="2"/>
      <c r="H24" s="2"/>
      <c r="I24" s="2"/>
      <c r="J24" s="2"/>
    </row>
    <row r="25" spans="1:10" ht="15" customHeight="1" x14ac:dyDescent="0.2">
      <c r="A25" s="15"/>
      <c r="B25" s="16"/>
      <c r="C25" s="15"/>
      <c r="D25" s="15"/>
      <c r="E25" s="16"/>
      <c r="F25" s="2"/>
      <c r="G25" s="2"/>
      <c r="H25" s="2"/>
      <c r="I25" s="2"/>
      <c r="J25" s="2"/>
    </row>
    <row r="26" spans="1:10" ht="15" customHeight="1" x14ac:dyDescent="0.2">
      <c r="A26" s="15"/>
      <c r="B26" s="16"/>
      <c r="C26" s="15"/>
      <c r="D26" s="15"/>
      <c r="E26" s="16"/>
      <c r="F26" s="2"/>
      <c r="G26" s="2"/>
      <c r="H26" s="2"/>
      <c r="I26" s="2"/>
      <c r="J26" s="2"/>
    </row>
    <row r="27" spans="1:10" ht="15" customHeight="1" x14ac:dyDescent="0.2">
      <c r="A27" s="15"/>
      <c r="B27" s="16"/>
      <c r="C27" s="15"/>
      <c r="D27" s="15"/>
      <c r="E27" s="16"/>
      <c r="F27" s="2"/>
      <c r="G27" s="2"/>
      <c r="H27" s="2"/>
      <c r="I27" s="2"/>
      <c r="J27" s="2"/>
    </row>
    <row r="28" spans="1:10" ht="15" customHeight="1" x14ac:dyDescent="0.2">
      <c r="A28" s="15"/>
      <c r="B28" s="16"/>
      <c r="C28" s="15"/>
      <c r="D28" s="15"/>
      <c r="E28" s="16"/>
      <c r="F28" s="2"/>
      <c r="G28" s="2"/>
      <c r="H28" s="2"/>
      <c r="I28" s="2"/>
      <c r="J28" s="2"/>
    </row>
    <row r="29" spans="1:10" ht="15" customHeight="1" x14ac:dyDescent="0.2">
      <c r="A29" s="15"/>
      <c r="B29" s="16"/>
      <c r="C29" s="15"/>
      <c r="D29" s="15"/>
      <c r="E29" s="16"/>
      <c r="F29" s="2"/>
      <c r="G29" s="2"/>
      <c r="H29" s="2"/>
      <c r="I29" s="2"/>
      <c r="J29" s="2"/>
    </row>
    <row r="30" spans="1:10" ht="15" customHeight="1" x14ac:dyDescent="0.2">
      <c r="A30" s="15"/>
      <c r="B30" s="16"/>
      <c r="C30" s="15"/>
      <c r="D30" s="15"/>
      <c r="E30" s="16"/>
      <c r="F30" s="2"/>
      <c r="G30" s="2"/>
      <c r="H30" s="2"/>
      <c r="I30" s="2"/>
      <c r="J30" s="2"/>
    </row>
    <row r="31" spans="1:10" ht="15" customHeight="1" x14ac:dyDescent="0.2">
      <c r="A31" s="15"/>
      <c r="B31" s="16"/>
      <c r="C31" s="15"/>
      <c r="D31" s="15"/>
      <c r="E31" s="16"/>
      <c r="F31" s="2"/>
      <c r="G31" s="2"/>
      <c r="H31" s="2"/>
      <c r="I31" s="2"/>
      <c r="J31" s="2"/>
    </row>
    <row r="32" spans="1:10" ht="15" customHeight="1" x14ac:dyDescent="0.2">
      <c r="A32" s="15"/>
      <c r="B32" s="16"/>
      <c r="C32" s="15"/>
      <c r="D32" s="15"/>
      <c r="E32" s="16"/>
      <c r="F32" s="2"/>
      <c r="G32" s="2"/>
      <c r="H32" s="2"/>
      <c r="I32" s="2"/>
      <c r="J32" s="2"/>
    </row>
    <row r="33" spans="1:10" ht="15" customHeight="1" x14ac:dyDescent="0.2">
      <c r="A33" s="15"/>
      <c r="B33" s="16"/>
      <c r="C33" s="15"/>
      <c r="D33" s="15"/>
      <c r="E33" s="16"/>
      <c r="F33" s="2"/>
      <c r="G33" s="2"/>
      <c r="H33" s="2"/>
      <c r="I33" s="2"/>
      <c r="J33" s="2"/>
    </row>
    <row r="34" spans="1:10" ht="15" customHeight="1" x14ac:dyDescent="0.2">
      <c r="A34" s="15"/>
      <c r="B34" s="16"/>
      <c r="C34" s="15"/>
      <c r="D34" s="15"/>
      <c r="E34" s="16"/>
      <c r="F34" s="2"/>
      <c r="G34" s="2"/>
      <c r="H34" s="2"/>
      <c r="I34" s="2"/>
      <c r="J34" s="2"/>
    </row>
    <row r="35" spans="1:10" ht="15" customHeight="1" x14ac:dyDescent="0.2">
      <c r="A35" s="15"/>
      <c r="B35" s="16"/>
      <c r="C35" s="15"/>
      <c r="D35" s="15"/>
      <c r="E35" s="16"/>
      <c r="F35" s="2"/>
      <c r="G35" s="2"/>
      <c r="H35" s="2"/>
      <c r="I35" s="2"/>
      <c r="J35" s="2"/>
    </row>
    <row r="36" spans="1:10" ht="15" customHeight="1" x14ac:dyDescent="0.2">
      <c r="A36" s="15"/>
      <c r="B36" s="16"/>
      <c r="C36" s="15"/>
      <c r="D36" s="15"/>
      <c r="E36" s="16"/>
      <c r="F36" s="2"/>
      <c r="G36" s="2"/>
      <c r="H36" s="2"/>
      <c r="I36" s="2"/>
      <c r="J36" s="2"/>
    </row>
    <row r="37" spans="1:10" ht="1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 ht="1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ht="1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ht="1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ht="1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ht="1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</row>
    <row r="43" spans="1:10" ht="1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</row>
    <row r="44" spans="1:10" ht="1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</row>
    <row r="45" spans="1:10" ht="1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10" ht="1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</row>
    <row r="47" spans="1:10" ht="1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</row>
    <row r="48" spans="1:10" ht="1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</row>
    <row r="49" spans="1:10" ht="1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</row>
    <row r="50" spans="1:10" ht="1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</row>
    <row r="51" spans="1:10" ht="1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</row>
    <row r="52" spans="1:10" ht="1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</row>
    <row r="53" spans="1:10" ht="1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0" ht="1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0" ht="1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</row>
    <row r="56" spans="1:10" ht="1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</row>
    <row r="57" spans="1:10" ht="1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</row>
    <row r="58" spans="1:10" ht="1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</row>
    <row r="59" spans="1:10" ht="1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</row>
    <row r="60" spans="1:10" ht="1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0" ht="1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0" ht="1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0" ht="1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0" ht="1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 ht="1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 ht="1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 ht="1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 ht="1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 ht="1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 ht="1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 ht="1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 ht="1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</row>
    <row r="73" spans="1:10" ht="1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</row>
    <row r="74" spans="1:10" ht="1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</row>
    <row r="75" spans="1:10" ht="1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 ht="1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 ht="1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 ht="1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 ht="1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 ht="1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 ht="1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 ht="1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</row>
    <row r="83" spans="1:10" ht="1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</row>
    <row r="84" spans="1:10" ht="1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</row>
    <row r="85" spans="1:10" ht="1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</row>
    <row r="86" spans="1:10" ht="1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</row>
    <row r="87" spans="1:10" ht="1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</row>
    <row r="88" spans="1:10" ht="1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</row>
    <row r="89" spans="1:10" ht="1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</row>
    <row r="90" spans="1:10" ht="1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</row>
    <row r="91" spans="1:10" ht="1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</row>
    <row r="92" spans="1:10" ht="1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</row>
    <row r="93" spans="1:10" ht="1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</row>
    <row r="94" spans="1:10" ht="1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</row>
    <row r="95" spans="1:10" ht="1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</row>
    <row r="96" spans="1:10" ht="1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</row>
    <row r="97" spans="1:10" ht="1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</row>
    <row r="98" spans="1:10" ht="1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</row>
    <row r="99" spans="1:10" ht="1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</row>
    <row r="100" spans="1:10" ht="1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</row>
    <row r="101" spans="1:10" ht="1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</row>
    <row r="102" spans="1:10" ht="1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</row>
    <row r="103" spans="1:10" ht="1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</row>
    <row r="104" spans="1:10" ht="1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</row>
    <row r="105" spans="1:10" ht="1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</row>
    <row r="106" spans="1:10" ht="1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</row>
    <row r="107" spans="1:10" ht="1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</row>
    <row r="108" spans="1:10" ht="1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</row>
    <row r="109" spans="1:10" ht="1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</row>
    <row r="110" spans="1:10" ht="1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</row>
    <row r="111" spans="1:10" ht="1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</row>
    <row r="112" spans="1:10" ht="1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</row>
    <row r="113" spans="1:10" ht="1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</row>
    <row r="114" spans="1:10" ht="1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</row>
    <row r="115" spans="1:10" ht="1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</row>
    <row r="116" spans="1:10" ht="1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</row>
    <row r="117" spans="1:10" ht="1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</row>
    <row r="118" spans="1:10" ht="1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</row>
    <row r="119" spans="1:10" ht="1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</row>
    <row r="120" spans="1:10" ht="1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</row>
    <row r="121" spans="1:10" ht="1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</row>
    <row r="122" spans="1:10" ht="1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</row>
    <row r="123" spans="1:10" ht="1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</row>
    <row r="124" spans="1:10" ht="1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</row>
    <row r="125" spans="1:10" ht="1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</row>
    <row r="126" spans="1:10" ht="1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</row>
    <row r="127" spans="1:10" ht="1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</row>
    <row r="128" spans="1:10" ht="1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</row>
    <row r="129" spans="1:10" ht="1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</row>
    <row r="130" spans="1:10" ht="1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</row>
    <row r="131" spans="1:10" ht="1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</row>
    <row r="132" spans="1:10" ht="1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</row>
    <row r="133" spans="1:10" ht="1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</row>
    <row r="134" spans="1:10" ht="1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</row>
    <row r="135" spans="1:10" ht="1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</row>
    <row r="136" spans="1:10" ht="1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</row>
    <row r="137" spans="1:10" ht="1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</row>
    <row r="138" spans="1:10" ht="1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</row>
    <row r="139" spans="1:10" ht="1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</row>
    <row r="140" spans="1:10" ht="1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</row>
    <row r="141" spans="1:10" ht="1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</row>
    <row r="142" spans="1:10" ht="1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</row>
    <row r="143" spans="1:10" ht="1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</row>
    <row r="144" spans="1:10" ht="1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</row>
    <row r="145" spans="1:10" ht="1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</row>
    <row r="146" spans="1:10" ht="1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</row>
    <row r="147" spans="1:10" ht="1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</row>
    <row r="148" spans="1:10" ht="1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</row>
    <row r="149" spans="1:10" ht="1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</row>
    <row r="150" spans="1:10" ht="1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</row>
    <row r="151" spans="1:10" ht="1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</row>
    <row r="152" spans="1:10" ht="1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</row>
    <row r="153" spans="1:10" ht="1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</row>
    <row r="154" spans="1:10" ht="1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</row>
    <row r="155" spans="1:10" ht="1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</row>
    <row r="156" spans="1:10" ht="1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</row>
    <row r="157" spans="1:10" ht="1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</row>
    <row r="158" spans="1:10" ht="1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</row>
    <row r="159" spans="1:10" ht="1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</row>
    <row r="160" spans="1:10" ht="1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</row>
    <row r="161" spans="1:10" ht="1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</row>
    <row r="162" spans="1:10" ht="1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</row>
    <row r="163" spans="1:10" ht="1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</row>
    <row r="164" spans="1:10" ht="1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</row>
    <row r="165" spans="1:10" ht="1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</row>
    <row r="166" spans="1:10" ht="1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</row>
    <row r="167" spans="1:10" ht="1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</row>
    <row r="168" spans="1:10" ht="1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</row>
    <row r="169" spans="1:10" ht="1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</row>
    <row r="170" spans="1:10" ht="1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</row>
    <row r="171" spans="1:10" ht="1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</row>
    <row r="172" spans="1:10" ht="1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</row>
    <row r="173" spans="1:10" ht="1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</row>
    <row r="174" spans="1:10" ht="1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</row>
    <row r="175" spans="1:10" ht="1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</row>
    <row r="176" spans="1:10" ht="1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</row>
    <row r="177" spans="1:10" ht="1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</row>
    <row r="178" spans="1:10" ht="1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</row>
    <row r="179" spans="1:10" ht="1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</row>
    <row r="180" spans="1:10" ht="1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</row>
    <row r="181" spans="1:10" ht="1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</row>
    <row r="182" spans="1:10" ht="1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</row>
    <row r="183" spans="1:10" ht="1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</row>
    <row r="184" spans="1:10" ht="1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</row>
    <row r="185" spans="1:10" ht="1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</row>
    <row r="186" spans="1:10" ht="1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</row>
    <row r="187" spans="1:10" ht="1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</row>
    <row r="188" spans="1:10" ht="1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</row>
    <row r="189" spans="1:10" ht="1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</row>
    <row r="190" spans="1:10" ht="1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</row>
    <row r="191" spans="1:10" ht="1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</row>
    <row r="192" spans="1:10" ht="1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</row>
    <row r="193" spans="1:10" ht="1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</row>
    <row r="194" spans="1:10" ht="1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</row>
    <row r="195" spans="1:10" ht="1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</row>
    <row r="196" spans="1:10" ht="1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</row>
    <row r="197" spans="1:10" ht="1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</row>
    <row r="198" spans="1:10" ht="1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</row>
    <row r="199" spans="1:10" ht="1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</row>
    <row r="200" spans="1:10" ht="1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</row>
    <row r="201" spans="1:10" x14ac:dyDescent="0.2">
      <c r="A201" s="2"/>
      <c r="B201" s="2"/>
      <c r="C201" s="2"/>
      <c r="D201" s="2"/>
      <c r="E20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J202"/>
  <sheetViews>
    <sheetView showGridLines="0" workbookViewId="0">
      <pane ySplit="5" topLeftCell="A6" activePane="bottomLeft" state="frozen"/>
      <selection pane="bottomLeft" activeCell="A10" sqref="A10:E11"/>
    </sheetView>
  </sheetViews>
  <sheetFormatPr defaultColWidth="9.7109375" defaultRowHeight="12.75" x14ac:dyDescent="0.2"/>
  <cols>
    <col min="1" max="1" width="22.7109375" style="1" customWidth="1"/>
    <col min="2" max="2" width="25" style="1" customWidth="1"/>
    <col min="3" max="3" width="27.28515625" style="1" customWidth="1"/>
    <col min="4" max="4" width="15.85546875" style="1" customWidth="1"/>
    <col min="5" max="5" width="34" style="1" customWidth="1"/>
  </cols>
  <sheetData>
    <row r="1" spans="1:10" ht="15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ht="27.95" customHeight="1" x14ac:dyDescent="0.2">
      <c r="A2" s="3" t="s">
        <v>37</v>
      </c>
      <c r="B2" s="2"/>
      <c r="C2" s="2"/>
      <c r="D2" s="2"/>
      <c r="E2" s="2"/>
      <c r="F2" s="2"/>
      <c r="G2" s="2"/>
      <c r="H2" s="2"/>
      <c r="I2" s="2"/>
      <c r="J2" s="2"/>
    </row>
    <row r="3" spans="1:10" ht="15" customHeight="1" x14ac:dyDescent="0.2">
      <c r="A3" s="4" t="s">
        <v>38</v>
      </c>
      <c r="B3" s="2"/>
      <c r="C3" s="2"/>
      <c r="D3" s="2"/>
      <c r="E3" s="2"/>
      <c r="F3" s="2"/>
      <c r="G3" s="2"/>
      <c r="H3" s="2"/>
      <c r="I3" s="2"/>
      <c r="J3" s="2"/>
    </row>
    <row r="4" spans="1:10" ht="15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ht="15" customHeight="1" x14ac:dyDescent="0.2">
      <c r="A5" s="11" t="s">
        <v>30</v>
      </c>
      <c r="B5" s="12" t="s">
        <v>39</v>
      </c>
      <c r="C5" s="12" t="s">
        <v>7</v>
      </c>
      <c r="D5" s="12" t="s">
        <v>22</v>
      </c>
      <c r="E5" s="13" t="s">
        <v>40</v>
      </c>
      <c r="F5" s="2"/>
      <c r="G5" s="2"/>
      <c r="H5" s="2"/>
      <c r="I5" s="2"/>
      <c r="J5" s="2"/>
    </row>
    <row r="6" spans="1:10" ht="15" customHeight="1" x14ac:dyDescent="0.2">
      <c r="A6" s="15" t="s">
        <v>13</v>
      </c>
      <c r="B6" s="15" t="s">
        <v>24</v>
      </c>
      <c r="C6" s="15" t="s">
        <v>41</v>
      </c>
      <c r="D6" s="15">
        <v>1</v>
      </c>
      <c r="E6" s="15" t="s">
        <v>25</v>
      </c>
      <c r="F6" s="2"/>
      <c r="G6" s="2"/>
      <c r="H6" s="2"/>
      <c r="I6" s="2"/>
      <c r="J6" s="2"/>
    </row>
    <row r="7" spans="1:10" ht="15" customHeight="1" x14ac:dyDescent="0.2">
      <c r="A7" s="15" t="s">
        <v>13</v>
      </c>
      <c r="B7" s="15" t="s">
        <v>26</v>
      </c>
      <c r="C7" s="15" t="s">
        <v>42</v>
      </c>
      <c r="D7" s="15">
        <v>3</v>
      </c>
      <c r="E7" s="15" t="s">
        <v>27</v>
      </c>
      <c r="F7" s="2"/>
      <c r="G7" s="2"/>
      <c r="H7" s="2"/>
      <c r="I7" s="2"/>
      <c r="J7" s="2"/>
    </row>
    <row r="8" spans="1:10" ht="15" customHeight="1" x14ac:dyDescent="0.2">
      <c r="A8" s="15" t="s">
        <v>34</v>
      </c>
      <c r="B8" s="15" t="s">
        <v>43</v>
      </c>
      <c r="C8" s="15" t="s">
        <v>44</v>
      </c>
      <c r="D8" s="15">
        <v>2</v>
      </c>
      <c r="E8" s="15" t="s">
        <v>45</v>
      </c>
      <c r="F8" s="2"/>
      <c r="G8" s="2"/>
      <c r="H8" s="2"/>
      <c r="I8" s="2"/>
      <c r="J8" s="2"/>
    </row>
    <row r="9" spans="1:10" ht="15" customHeight="1" x14ac:dyDescent="0.2">
      <c r="A9" s="15" t="s">
        <v>34</v>
      </c>
      <c r="B9" s="15" t="s">
        <v>46</v>
      </c>
      <c r="C9" s="15" t="s">
        <v>47</v>
      </c>
      <c r="D9" s="15">
        <v>4</v>
      </c>
      <c r="E9" s="15" t="s">
        <v>48</v>
      </c>
      <c r="F9" s="2"/>
      <c r="G9" s="2"/>
      <c r="H9" s="2"/>
      <c r="I9" s="2"/>
      <c r="J9" s="2"/>
    </row>
    <row r="10" spans="1:10" ht="15" customHeight="1" x14ac:dyDescent="0.2">
      <c r="A10" s="15" t="s">
        <v>57</v>
      </c>
      <c r="B10" s="15" t="s">
        <v>46</v>
      </c>
      <c r="C10" s="15" t="str">
        <f>IFERROR(VLOOKUP(B10,tblEquipamentos[],2,FALSE),"")</f>
        <v>Multímetro</v>
      </c>
      <c r="D10" s="15">
        <v>1</v>
      </c>
      <c r="E10" s="15" t="s">
        <v>25</v>
      </c>
      <c r="F10" s="2"/>
      <c r="G10" s="2"/>
      <c r="H10" s="2"/>
      <c r="I10" s="2"/>
      <c r="J10" s="2"/>
    </row>
    <row r="11" spans="1:10" ht="15" customHeight="1" x14ac:dyDescent="0.2">
      <c r="A11" s="15" t="s">
        <v>57</v>
      </c>
      <c r="B11" s="15" t="s">
        <v>26</v>
      </c>
      <c r="C11" s="15" t="str">
        <f>IFERROR(VLOOKUP(B11,tblEquipamentos[],2,FALSE),"")</f>
        <v>Notebook</v>
      </c>
      <c r="D11" s="15">
        <v>3</v>
      </c>
      <c r="E11" s="15" t="s">
        <v>27</v>
      </c>
      <c r="F11" s="2"/>
      <c r="G11" s="2"/>
      <c r="H11" s="2"/>
      <c r="I11" s="2"/>
      <c r="J11" s="2"/>
    </row>
    <row r="12" spans="1:10" ht="15" customHeight="1" x14ac:dyDescent="0.2">
      <c r="A12" s="15"/>
      <c r="B12" s="15"/>
      <c r="C12" s="15"/>
      <c r="D12" s="15"/>
      <c r="E12" s="15"/>
      <c r="F12" s="2"/>
      <c r="G12" s="2"/>
      <c r="H12" s="2"/>
      <c r="I12" s="2"/>
      <c r="J12" s="2"/>
    </row>
    <row r="13" spans="1:10" ht="15" customHeight="1" x14ac:dyDescent="0.2">
      <c r="A13" s="15"/>
      <c r="B13" s="15"/>
      <c r="C13" s="15"/>
      <c r="D13" s="15"/>
      <c r="E13" s="15"/>
      <c r="F13" s="2"/>
      <c r="G13" s="2"/>
      <c r="H13" s="2"/>
      <c r="I13" s="2"/>
      <c r="J13" s="2"/>
    </row>
    <row r="14" spans="1:10" ht="15" customHeight="1" x14ac:dyDescent="0.2">
      <c r="A14" s="15"/>
      <c r="B14" s="15"/>
      <c r="C14" s="15"/>
      <c r="D14" s="15"/>
      <c r="E14" s="15"/>
      <c r="F14" s="2"/>
      <c r="G14" s="2"/>
      <c r="H14" s="2"/>
      <c r="I14" s="2"/>
      <c r="J14" s="2"/>
    </row>
    <row r="15" spans="1:10" ht="15" customHeight="1" x14ac:dyDescent="0.2">
      <c r="A15" s="15"/>
      <c r="B15" s="15"/>
      <c r="C15" s="15"/>
      <c r="D15" s="15"/>
      <c r="E15" s="15"/>
      <c r="F15" s="2"/>
      <c r="G15" s="2"/>
      <c r="H15" s="2"/>
      <c r="I15" s="2"/>
      <c r="J15" s="2"/>
    </row>
    <row r="16" spans="1:10" ht="15" customHeight="1" x14ac:dyDescent="0.2">
      <c r="A16" s="15"/>
      <c r="B16" s="15"/>
      <c r="C16" s="15"/>
      <c r="D16" s="15"/>
      <c r="E16" s="15"/>
      <c r="F16" s="2"/>
      <c r="G16" s="2"/>
      <c r="H16" s="2"/>
      <c r="I16" s="2"/>
      <c r="J16" s="2"/>
    </row>
    <row r="17" spans="1:10" ht="15" customHeight="1" x14ac:dyDescent="0.2">
      <c r="A17" s="15"/>
      <c r="B17" s="15"/>
      <c r="C17" s="15"/>
      <c r="D17" s="15"/>
      <c r="E17" s="15"/>
      <c r="F17" s="2"/>
      <c r="G17" s="2"/>
      <c r="H17" s="2"/>
      <c r="I17" s="2"/>
      <c r="J17" s="2"/>
    </row>
    <row r="18" spans="1:10" ht="15" customHeight="1" x14ac:dyDescent="0.2">
      <c r="A18" s="15"/>
      <c r="B18" s="15"/>
      <c r="C18" s="15"/>
      <c r="D18" s="15"/>
      <c r="E18" s="15"/>
      <c r="F18" s="2"/>
      <c r="G18" s="2"/>
      <c r="H18" s="2"/>
      <c r="I18" s="2"/>
      <c r="J18" s="2"/>
    </row>
    <row r="19" spans="1:10" ht="15" customHeight="1" x14ac:dyDescent="0.2">
      <c r="A19" s="15"/>
      <c r="B19" s="15"/>
      <c r="C19" s="15"/>
      <c r="D19" s="15"/>
      <c r="E19" s="15"/>
      <c r="F19" s="2"/>
      <c r="G19" s="2"/>
      <c r="H19" s="2"/>
      <c r="I19" s="2"/>
      <c r="J19" s="2"/>
    </row>
    <row r="20" spans="1:10" ht="15" customHeight="1" x14ac:dyDescent="0.2">
      <c r="A20" s="15"/>
      <c r="B20" s="15"/>
      <c r="C20" s="15"/>
      <c r="D20" s="15"/>
      <c r="E20" s="15"/>
      <c r="F20" s="2"/>
      <c r="G20" s="2"/>
      <c r="H20" s="2"/>
      <c r="I20" s="2"/>
      <c r="J20" s="2"/>
    </row>
    <row r="21" spans="1:10" ht="15" customHeight="1" x14ac:dyDescent="0.2">
      <c r="A21" s="15"/>
      <c r="B21" s="15"/>
      <c r="C21" s="15"/>
      <c r="D21" s="15"/>
      <c r="E21" s="15"/>
      <c r="F21" s="2"/>
      <c r="G21" s="2"/>
      <c r="H21" s="2"/>
      <c r="I21" s="2"/>
      <c r="J21" s="2"/>
    </row>
    <row r="22" spans="1:10" ht="15" customHeight="1" x14ac:dyDescent="0.2">
      <c r="A22" s="15"/>
      <c r="B22" s="15"/>
      <c r="C22" s="15"/>
      <c r="D22" s="15"/>
      <c r="E22" s="15"/>
      <c r="F22" s="2"/>
      <c r="G22" s="2"/>
      <c r="H22" s="2"/>
      <c r="I22" s="2"/>
      <c r="J22" s="2"/>
    </row>
    <row r="23" spans="1:10" ht="15" customHeight="1" x14ac:dyDescent="0.2">
      <c r="A23" s="15"/>
      <c r="B23" s="15"/>
      <c r="C23" s="15"/>
      <c r="D23" s="15"/>
      <c r="E23" s="15"/>
      <c r="F23" s="2"/>
      <c r="G23" s="2"/>
      <c r="H23" s="2"/>
      <c r="I23" s="2"/>
      <c r="J23" s="2"/>
    </row>
    <row r="24" spans="1:10" ht="15" customHeight="1" x14ac:dyDescent="0.2">
      <c r="A24" s="15"/>
      <c r="B24" s="15"/>
      <c r="C24" s="15"/>
      <c r="D24" s="15"/>
      <c r="E24" s="15"/>
      <c r="F24" s="2"/>
      <c r="G24" s="2"/>
      <c r="H24" s="2"/>
      <c r="I24" s="2"/>
      <c r="J24" s="2"/>
    </row>
    <row r="25" spans="1:10" ht="15" customHeight="1" x14ac:dyDescent="0.2">
      <c r="A25" s="15"/>
      <c r="B25" s="15"/>
      <c r="C25" s="15"/>
      <c r="D25" s="15"/>
      <c r="E25" s="15"/>
      <c r="F25" s="2"/>
      <c r="G25" s="2"/>
      <c r="H25" s="2"/>
      <c r="I25" s="2"/>
      <c r="J25" s="2"/>
    </row>
    <row r="26" spans="1:10" ht="15" customHeight="1" x14ac:dyDescent="0.2">
      <c r="A26" s="15"/>
      <c r="B26" s="15"/>
      <c r="C26" s="15"/>
      <c r="D26" s="15"/>
      <c r="E26" s="15"/>
      <c r="F26" s="2"/>
      <c r="G26" s="2"/>
      <c r="H26" s="2"/>
      <c r="I26" s="2"/>
      <c r="J26" s="2"/>
    </row>
    <row r="27" spans="1:10" ht="15" customHeight="1" x14ac:dyDescent="0.2">
      <c r="A27" s="15"/>
      <c r="B27" s="15"/>
      <c r="C27" s="15"/>
      <c r="D27" s="15"/>
      <c r="E27" s="15"/>
      <c r="F27" s="2"/>
      <c r="G27" s="2"/>
      <c r="H27" s="2"/>
      <c r="I27" s="2"/>
      <c r="J27" s="2"/>
    </row>
    <row r="28" spans="1:10" ht="15" customHeight="1" x14ac:dyDescent="0.2">
      <c r="A28" s="15"/>
      <c r="B28" s="15"/>
      <c r="C28" s="15"/>
      <c r="D28" s="15"/>
      <c r="E28" s="15"/>
      <c r="F28" s="2"/>
      <c r="G28" s="2"/>
      <c r="H28" s="2"/>
      <c r="I28" s="2"/>
      <c r="J28" s="2"/>
    </row>
    <row r="29" spans="1:10" ht="15" customHeight="1" x14ac:dyDescent="0.2">
      <c r="A29" s="15"/>
      <c r="B29" s="15"/>
      <c r="C29" s="15"/>
      <c r="D29" s="15"/>
      <c r="E29" s="15"/>
      <c r="F29" s="2"/>
      <c r="G29" s="2"/>
      <c r="H29" s="2"/>
      <c r="I29" s="2"/>
      <c r="J29" s="2"/>
    </row>
    <row r="30" spans="1:10" ht="15" customHeight="1" x14ac:dyDescent="0.2">
      <c r="A30" s="15"/>
      <c r="B30" s="15"/>
      <c r="C30" s="15"/>
      <c r="D30" s="15"/>
      <c r="E30" s="15"/>
      <c r="F30" s="2"/>
      <c r="G30" s="2"/>
      <c r="H30" s="2"/>
      <c r="I30" s="2"/>
      <c r="J30" s="2"/>
    </row>
    <row r="31" spans="1:10" ht="15" customHeight="1" x14ac:dyDescent="0.2">
      <c r="A31" s="15"/>
      <c r="B31" s="15"/>
      <c r="C31" s="15"/>
      <c r="D31" s="15"/>
      <c r="E31" s="15"/>
      <c r="F31" s="2"/>
      <c r="G31" s="2"/>
      <c r="H31" s="2"/>
      <c r="I31" s="2"/>
      <c r="J31" s="2"/>
    </row>
    <row r="32" spans="1:10" ht="15" customHeight="1" x14ac:dyDescent="0.2">
      <c r="A32" s="15"/>
      <c r="B32" s="15"/>
      <c r="C32" s="15"/>
      <c r="D32" s="15"/>
      <c r="E32" s="15"/>
      <c r="F32" s="2"/>
      <c r="G32" s="2"/>
      <c r="H32" s="2"/>
      <c r="I32" s="2"/>
      <c r="J32" s="2"/>
    </row>
    <row r="33" spans="1:10" ht="15" customHeight="1" x14ac:dyDescent="0.2">
      <c r="A33" s="15"/>
      <c r="B33" s="15"/>
      <c r="C33" s="15"/>
      <c r="D33" s="15"/>
      <c r="E33" s="15"/>
      <c r="F33" s="2"/>
      <c r="G33" s="2"/>
      <c r="H33" s="2"/>
      <c r="I33" s="2"/>
      <c r="J33" s="2"/>
    </row>
    <row r="34" spans="1:10" ht="15" customHeight="1" x14ac:dyDescent="0.2">
      <c r="A34" s="15"/>
      <c r="B34" s="15"/>
      <c r="C34" s="15"/>
      <c r="D34" s="15"/>
      <c r="E34" s="15"/>
      <c r="F34" s="2"/>
      <c r="G34" s="2"/>
      <c r="H34" s="2"/>
      <c r="I34" s="2"/>
      <c r="J34" s="2"/>
    </row>
    <row r="35" spans="1:10" ht="15" customHeight="1" x14ac:dyDescent="0.2">
      <c r="A35" s="15"/>
      <c r="B35" s="15"/>
      <c r="C35" s="15"/>
      <c r="D35" s="15"/>
      <c r="E35" s="15"/>
      <c r="F35" s="2"/>
      <c r="G35" s="2"/>
      <c r="H35" s="2"/>
      <c r="I35" s="2"/>
      <c r="J35" s="2"/>
    </row>
    <row r="36" spans="1:10" ht="15" customHeight="1" x14ac:dyDescent="0.2">
      <c r="A36" s="15"/>
      <c r="B36" s="15"/>
      <c r="C36" s="15"/>
      <c r="D36" s="15"/>
      <c r="E36" s="15"/>
      <c r="F36" s="2"/>
      <c r="G36" s="2"/>
      <c r="H36" s="2"/>
      <c r="I36" s="2"/>
      <c r="J36" s="2"/>
    </row>
    <row r="37" spans="1:10" ht="15" customHeight="1" x14ac:dyDescent="0.2">
      <c r="A37" s="15"/>
      <c r="B37" s="15"/>
      <c r="C37" s="15"/>
      <c r="D37" s="15"/>
      <c r="E37" s="15"/>
      <c r="F37" s="2"/>
      <c r="G37" s="2"/>
      <c r="H37" s="2"/>
      <c r="I37" s="2"/>
      <c r="J37" s="2"/>
    </row>
    <row r="38" spans="1:10" ht="15" customHeight="1" x14ac:dyDescent="0.2">
      <c r="A38" s="15"/>
      <c r="B38" s="15"/>
      <c r="C38" s="15"/>
      <c r="D38" s="15"/>
      <c r="E38" s="15"/>
      <c r="F38" s="2"/>
      <c r="G38" s="2"/>
      <c r="H38" s="2"/>
      <c r="I38" s="2"/>
      <c r="J38" s="2"/>
    </row>
    <row r="39" spans="1:10" ht="15" customHeight="1" x14ac:dyDescent="0.2">
      <c r="A39" s="15"/>
      <c r="B39" s="15"/>
      <c r="C39" s="15"/>
      <c r="D39" s="15"/>
      <c r="E39" s="15"/>
      <c r="F39" s="2"/>
      <c r="G39" s="2"/>
      <c r="H39" s="2"/>
      <c r="I39" s="2"/>
      <c r="J39" s="2"/>
    </row>
    <row r="40" spans="1:10" ht="15" customHeight="1" x14ac:dyDescent="0.2">
      <c r="A40" s="15"/>
      <c r="B40" s="15"/>
      <c r="C40" s="15"/>
      <c r="D40" s="15"/>
      <c r="E40" s="15"/>
      <c r="F40" s="2"/>
      <c r="G40" s="2"/>
      <c r="H40" s="2"/>
      <c r="I40" s="2"/>
      <c r="J40" s="2"/>
    </row>
    <row r="41" spans="1:10" ht="15" customHeight="1" x14ac:dyDescent="0.2">
      <c r="A41" s="15"/>
      <c r="B41" s="15"/>
      <c r="C41" s="15"/>
      <c r="D41" s="15"/>
      <c r="E41" s="15"/>
      <c r="F41" s="2"/>
      <c r="G41" s="2"/>
      <c r="H41" s="2"/>
      <c r="I41" s="2"/>
      <c r="J41" s="2"/>
    </row>
    <row r="42" spans="1:10" ht="15" customHeight="1" x14ac:dyDescent="0.2">
      <c r="A42" s="15"/>
      <c r="B42" s="15"/>
      <c r="C42" s="15"/>
      <c r="D42" s="15"/>
      <c r="E42" s="15"/>
      <c r="F42" s="2"/>
      <c r="G42" s="2"/>
      <c r="H42" s="2"/>
      <c r="I42" s="2"/>
      <c r="J42" s="2"/>
    </row>
    <row r="43" spans="1:10" ht="15" customHeight="1" x14ac:dyDescent="0.2">
      <c r="A43" s="15"/>
      <c r="B43" s="15"/>
      <c r="C43" s="15"/>
      <c r="D43" s="15"/>
      <c r="E43" s="15"/>
      <c r="F43" s="2"/>
      <c r="G43" s="2"/>
      <c r="H43" s="2"/>
      <c r="I43" s="2"/>
      <c r="J43" s="2"/>
    </row>
    <row r="44" spans="1:10" ht="15" customHeight="1" x14ac:dyDescent="0.2">
      <c r="A44" s="15"/>
      <c r="B44" s="15"/>
      <c r="C44" s="15"/>
      <c r="D44" s="15"/>
      <c r="E44" s="15"/>
      <c r="F44" s="2"/>
      <c r="G44" s="2"/>
      <c r="H44" s="2"/>
      <c r="I44" s="2"/>
      <c r="J44" s="2"/>
    </row>
    <row r="45" spans="1:10" ht="15" customHeight="1" x14ac:dyDescent="0.2">
      <c r="A45" s="15"/>
      <c r="B45" s="15"/>
      <c r="C45" s="15"/>
      <c r="D45" s="15"/>
      <c r="E45" s="15"/>
      <c r="F45" s="2"/>
      <c r="G45" s="2"/>
      <c r="H45" s="2"/>
      <c r="I45" s="2"/>
      <c r="J45" s="2"/>
    </row>
    <row r="46" spans="1:10" ht="15" customHeight="1" x14ac:dyDescent="0.2">
      <c r="A46" s="15"/>
      <c r="B46" s="15"/>
      <c r="C46" s="15"/>
      <c r="D46" s="15"/>
      <c r="E46" s="15"/>
      <c r="F46" s="2"/>
      <c r="G46" s="2"/>
      <c r="H46" s="2"/>
      <c r="I46" s="2"/>
      <c r="J46" s="2"/>
    </row>
    <row r="47" spans="1:10" ht="15" customHeight="1" x14ac:dyDescent="0.2">
      <c r="A47" s="15"/>
      <c r="B47" s="15"/>
      <c r="C47" s="15"/>
      <c r="D47" s="15"/>
      <c r="E47" s="15"/>
      <c r="F47" s="2"/>
      <c r="G47" s="2"/>
      <c r="H47" s="2"/>
      <c r="I47" s="2"/>
      <c r="J47" s="2"/>
    </row>
    <row r="48" spans="1:10" ht="15" customHeight="1" x14ac:dyDescent="0.2">
      <c r="A48" s="15"/>
      <c r="B48" s="15"/>
      <c r="C48" s="15"/>
      <c r="D48" s="15"/>
      <c r="E48" s="15"/>
      <c r="F48" s="2"/>
      <c r="G48" s="2"/>
      <c r="H48" s="2"/>
      <c r="I48" s="2"/>
      <c r="J48" s="2"/>
    </row>
    <row r="49" spans="1:10" ht="15" customHeight="1" x14ac:dyDescent="0.2">
      <c r="A49" s="15"/>
      <c r="B49" s="15"/>
      <c r="C49" s="15"/>
      <c r="D49" s="15"/>
      <c r="E49" s="15"/>
      <c r="F49" s="2"/>
      <c r="G49" s="2"/>
      <c r="H49" s="2"/>
      <c r="I49" s="2"/>
      <c r="J49" s="2"/>
    </row>
    <row r="50" spans="1:10" ht="15" customHeight="1" x14ac:dyDescent="0.2">
      <c r="A50" s="15"/>
      <c r="B50" s="15"/>
      <c r="C50" s="15"/>
      <c r="D50" s="15"/>
      <c r="E50" s="15"/>
      <c r="F50" s="2"/>
      <c r="G50" s="2"/>
      <c r="H50" s="2"/>
      <c r="I50" s="2"/>
      <c r="J50" s="2"/>
    </row>
    <row r="51" spans="1:10" ht="15" customHeight="1" x14ac:dyDescent="0.2">
      <c r="A51" s="15"/>
      <c r="B51" s="15"/>
      <c r="C51" s="15"/>
      <c r="D51" s="15"/>
      <c r="E51" s="15"/>
      <c r="F51" s="2"/>
      <c r="G51" s="2"/>
      <c r="H51" s="2"/>
      <c r="I51" s="2"/>
      <c r="J51" s="2"/>
    </row>
    <row r="52" spans="1:10" ht="15" customHeight="1" x14ac:dyDescent="0.2">
      <c r="A52" s="15"/>
      <c r="B52" s="15"/>
      <c r="C52" s="15"/>
      <c r="D52" s="15"/>
      <c r="E52" s="15"/>
      <c r="F52" s="2"/>
      <c r="G52" s="2"/>
      <c r="H52" s="2"/>
      <c r="I52" s="2"/>
      <c r="J52" s="2"/>
    </row>
    <row r="53" spans="1:10" ht="1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0" ht="1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0" ht="1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</row>
    <row r="56" spans="1:10" ht="1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</row>
    <row r="57" spans="1:10" ht="1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</row>
    <row r="58" spans="1:10" ht="1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</row>
    <row r="59" spans="1:10" ht="1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</row>
    <row r="60" spans="1:10" ht="1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0" ht="1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0" ht="1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0" ht="1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0" ht="1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 ht="1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 ht="1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 ht="1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 ht="1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 ht="1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 ht="1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 ht="1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 ht="1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</row>
    <row r="73" spans="1:10" ht="1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</row>
    <row r="74" spans="1:10" ht="1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</row>
    <row r="75" spans="1:10" ht="1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 ht="1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 ht="1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 ht="1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 ht="1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 ht="1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 ht="1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 ht="1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</row>
    <row r="83" spans="1:10" ht="1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</row>
    <row r="84" spans="1:10" ht="1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</row>
    <row r="85" spans="1:10" ht="1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</row>
    <row r="86" spans="1:10" ht="1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</row>
    <row r="87" spans="1:10" ht="1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</row>
    <row r="88" spans="1:10" ht="1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</row>
    <row r="89" spans="1:10" ht="1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</row>
    <row r="90" spans="1:10" ht="1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</row>
    <row r="91" spans="1:10" ht="1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</row>
    <row r="92" spans="1:10" ht="1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</row>
    <row r="93" spans="1:10" ht="1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</row>
    <row r="94" spans="1:10" ht="1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</row>
    <row r="95" spans="1:10" ht="1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</row>
    <row r="96" spans="1:10" ht="1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</row>
    <row r="97" spans="1:10" ht="1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</row>
    <row r="98" spans="1:10" ht="1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</row>
    <row r="99" spans="1:10" ht="1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</row>
    <row r="100" spans="1:10" ht="1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</row>
    <row r="101" spans="1:10" ht="1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</row>
    <row r="102" spans="1:10" ht="1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</row>
    <row r="103" spans="1:10" ht="1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</row>
    <row r="104" spans="1:10" ht="1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</row>
    <row r="105" spans="1:10" ht="1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</row>
    <row r="106" spans="1:10" ht="1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</row>
    <row r="107" spans="1:10" ht="1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</row>
    <row r="108" spans="1:10" ht="1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</row>
    <row r="109" spans="1:10" ht="1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</row>
    <row r="110" spans="1:10" ht="1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</row>
    <row r="111" spans="1:10" ht="1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</row>
    <row r="112" spans="1:10" ht="1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</row>
    <row r="113" spans="1:10" ht="1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</row>
    <row r="114" spans="1:10" ht="1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</row>
    <row r="115" spans="1:10" ht="1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</row>
    <row r="116" spans="1:10" ht="1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</row>
    <row r="117" spans="1:10" ht="1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</row>
    <row r="118" spans="1:10" ht="1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</row>
    <row r="119" spans="1:10" ht="1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</row>
    <row r="120" spans="1:10" ht="1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</row>
    <row r="121" spans="1:10" ht="1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</row>
    <row r="122" spans="1:10" ht="1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</row>
    <row r="123" spans="1:10" ht="1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</row>
    <row r="124" spans="1:10" ht="1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</row>
    <row r="125" spans="1:10" ht="1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</row>
    <row r="126" spans="1:10" ht="1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</row>
    <row r="127" spans="1:10" ht="1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</row>
    <row r="128" spans="1:10" ht="1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</row>
    <row r="129" spans="1:10" ht="1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</row>
    <row r="130" spans="1:10" ht="1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</row>
    <row r="131" spans="1:10" ht="1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</row>
    <row r="132" spans="1:10" ht="1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</row>
    <row r="133" spans="1:10" ht="1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</row>
    <row r="134" spans="1:10" ht="1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</row>
    <row r="135" spans="1:10" ht="1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</row>
    <row r="136" spans="1:10" ht="1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</row>
    <row r="137" spans="1:10" ht="1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</row>
    <row r="138" spans="1:10" ht="1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</row>
    <row r="139" spans="1:10" ht="1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</row>
    <row r="140" spans="1:10" ht="1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</row>
    <row r="141" spans="1:10" ht="1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</row>
    <row r="142" spans="1:10" ht="1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</row>
    <row r="143" spans="1:10" ht="1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</row>
    <row r="144" spans="1:10" ht="1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</row>
    <row r="145" spans="1:10" ht="1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</row>
    <row r="146" spans="1:10" ht="1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</row>
    <row r="147" spans="1:10" ht="1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</row>
    <row r="148" spans="1:10" ht="1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</row>
    <row r="149" spans="1:10" ht="1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</row>
    <row r="150" spans="1:10" ht="1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</row>
    <row r="151" spans="1:10" ht="1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</row>
    <row r="152" spans="1:10" ht="1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</row>
    <row r="153" spans="1:10" ht="1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</row>
    <row r="154" spans="1:10" ht="1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</row>
    <row r="155" spans="1:10" ht="1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</row>
    <row r="156" spans="1:10" ht="1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</row>
    <row r="157" spans="1:10" ht="1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</row>
    <row r="158" spans="1:10" ht="1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</row>
    <row r="159" spans="1:10" ht="1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</row>
    <row r="160" spans="1:10" ht="1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</row>
    <row r="161" spans="1:10" ht="1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</row>
    <row r="162" spans="1:10" ht="1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</row>
    <row r="163" spans="1:10" ht="1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</row>
    <row r="164" spans="1:10" ht="1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</row>
    <row r="165" spans="1:10" ht="1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</row>
    <row r="166" spans="1:10" ht="1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</row>
    <row r="167" spans="1:10" ht="1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</row>
    <row r="168" spans="1:10" ht="1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</row>
    <row r="169" spans="1:10" ht="1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</row>
    <row r="170" spans="1:10" ht="1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</row>
    <row r="171" spans="1:10" ht="1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</row>
    <row r="172" spans="1:10" ht="1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</row>
    <row r="173" spans="1:10" ht="1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</row>
    <row r="174" spans="1:10" ht="1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</row>
    <row r="175" spans="1:10" ht="1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</row>
    <row r="176" spans="1:10" ht="1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</row>
    <row r="177" spans="1:10" ht="1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</row>
    <row r="178" spans="1:10" ht="1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</row>
    <row r="179" spans="1:10" ht="1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</row>
    <row r="180" spans="1:10" ht="1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</row>
    <row r="181" spans="1:10" ht="1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</row>
    <row r="182" spans="1:10" ht="1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</row>
    <row r="183" spans="1:10" ht="1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</row>
    <row r="184" spans="1:10" ht="1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</row>
    <row r="185" spans="1:10" ht="1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</row>
    <row r="186" spans="1:10" ht="1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</row>
    <row r="187" spans="1:10" ht="1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</row>
    <row r="188" spans="1:10" ht="1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</row>
    <row r="189" spans="1:10" ht="1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</row>
    <row r="190" spans="1:10" ht="1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</row>
    <row r="191" spans="1:10" ht="1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</row>
    <row r="192" spans="1:10" ht="1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</row>
    <row r="193" spans="1:10" ht="1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</row>
    <row r="194" spans="1:10" ht="1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</row>
    <row r="195" spans="1:10" ht="1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</row>
    <row r="196" spans="1:10" ht="1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</row>
    <row r="197" spans="1:10" ht="1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</row>
    <row r="198" spans="1:10" ht="1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</row>
    <row r="199" spans="1:10" ht="1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</row>
    <row r="200" spans="1:10" ht="1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</row>
    <row r="201" spans="1:10" x14ac:dyDescent="0.2">
      <c r="A201" s="2"/>
      <c r="B201" s="2"/>
      <c r="C201" s="2"/>
      <c r="D201" s="2"/>
      <c r="E201" s="2"/>
    </row>
    <row r="202" spans="1:10" x14ac:dyDescent="0.2">
      <c r="A202" s="2"/>
      <c r="B202" s="2"/>
      <c r="C202" s="2"/>
      <c r="D202" s="2"/>
      <c r="E202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J200"/>
  <sheetViews>
    <sheetView showGridLines="0" workbookViewId="0"/>
  </sheetViews>
  <sheetFormatPr defaultColWidth="9.7109375" defaultRowHeight="12.75" x14ac:dyDescent="0.2"/>
  <cols>
    <col min="1" max="1" width="25" style="1" customWidth="1"/>
    <col min="2" max="2" width="29.5703125" style="1" customWidth="1"/>
    <col min="4" max="4" width="18.140625" style="1" customWidth="1"/>
  </cols>
  <sheetData>
    <row r="1" spans="1:10" ht="15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</row>
    <row r="2" spans="1:10" ht="27.95" customHeight="1" x14ac:dyDescent="0.2">
      <c r="A2" s="3" t="s">
        <v>49</v>
      </c>
      <c r="B2" s="2"/>
      <c r="C2" s="2"/>
      <c r="D2" s="2"/>
      <c r="E2" s="2"/>
      <c r="F2" s="2"/>
      <c r="G2" s="2"/>
      <c r="H2" s="2"/>
      <c r="I2" s="2"/>
      <c r="J2" s="2"/>
    </row>
    <row r="3" spans="1:10" ht="15" customHeight="1" x14ac:dyDescent="0.2">
      <c r="A3" s="4" t="s">
        <v>50</v>
      </c>
      <c r="B3" s="2"/>
      <c r="C3" s="2"/>
      <c r="D3" s="2"/>
      <c r="E3" s="2"/>
      <c r="F3" s="2"/>
      <c r="G3" s="2"/>
      <c r="H3" s="2"/>
      <c r="I3" s="2"/>
      <c r="J3" s="2"/>
    </row>
    <row r="4" spans="1:10" ht="15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</row>
    <row r="5" spans="1:10" ht="15" customHeight="1" x14ac:dyDescent="0.2">
      <c r="A5" s="11" t="s">
        <v>39</v>
      </c>
      <c r="B5" s="13" t="s">
        <v>7</v>
      </c>
      <c r="C5" s="2"/>
      <c r="D5" s="17" t="s">
        <v>5</v>
      </c>
      <c r="E5" s="2"/>
      <c r="F5" s="2"/>
      <c r="G5" s="2"/>
      <c r="H5" s="2"/>
      <c r="I5" s="2"/>
      <c r="J5" s="2"/>
    </row>
    <row r="6" spans="1:10" ht="15" customHeight="1" x14ac:dyDescent="0.2">
      <c r="A6" s="15" t="s">
        <v>24</v>
      </c>
      <c r="B6" s="15" t="s">
        <v>41</v>
      </c>
      <c r="C6" s="2"/>
      <c r="D6" s="15" t="s">
        <v>51</v>
      </c>
      <c r="E6" s="2"/>
      <c r="F6" s="2"/>
      <c r="G6" s="2"/>
      <c r="H6" s="2"/>
      <c r="I6" s="2"/>
      <c r="J6" s="2"/>
    </row>
    <row r="7" spans="1:10" ht="15" customHeight="1" x14ac:dyDescent="0.2">
      <c r="A7" s="15" t="s">
        <v>26</v>
      </c>
      <c r="B7" s="15" t="s">
        <v>42</v>
      </c>
      <c r="C7" s="2"/>
      <c r="D7" s="15" t="s">
        <v>36</v>
      </c>
      <c r="E7" s="2"/>
      <c r="F7" s="2"/>
      <c r="G7" s="2"/>
      <c r="H7" s="2"/>
      <c r="I7" s="2"/>
      <c r="J7" s="2"/>
    </row>
    <row r="8" spans="1:10" ht="15" customHeight="1" x14ac:dyDescent="0.2">
      <c r="A8" s="15" t="s">
        <v>43</v>
      </c>
      <c r="B8" s="15" t="s">
        <v>44</v>
      </c>
      <c r="C8" s="2"/>
      <c r="D8" s="15" t="s">
        <v>19</v>
      </c>
      <c r="E8" s="2"/>
      <c r="F8" s="2"/>
      <c r="G8" s="2"/>
      <c r="H8" s="2"/>
      <c r="I8" s="2"/>
      <c r="J8" s="2"/>
    </row>
    <row r="9" spans="1:10" ht="15" customHeight="1" x14ac:dyDescent="0.2">
      <c r="A9" s="15" t="s">
        <v>46</v>
      </c>
      <c r="B9" s="15" t="s">
        <v>47</v>
      </c>
      <c r="C9" s="2"/>
      <c r="D9" s="15" t="s">
        <v>52</v>
      </c>
      <c r="E9" s="2"/>
      <c r="F9" s="2"/>
      <c r="G9" s="2"/>
      <c r="H9" s="2"/>
      <c r="I9" s="2"/>
      <c r="J9" s="2"/>
    </row>
    <row r="10" spans="1:10" ht="15" customHeight="1" x14ac:dyDescent="0.2">
      <c r="A10" s="15" t="s">
        <v>53</v>
      </c>
      <c r="B10" s="15" t="s">
        <v>54</v>
      </c>
      <c r="C10" s="2"/>
      <c r="D10" s="15" t="s">
        <v>55</v>
      </c>
      <c r="E10" s="2"/>
      <c r="F10" s="2"/>
      <c r="G10" s="2"/>
      <c r="H10" s="2"/>
      <c r="I10" s="2"/>
      <c r="J10" s="2"/>
    </row>
    <row r="11" spans="1:10" ht="15" customHeight="1" x14ac:dyDescent="0.2">
      <c r="A11" s="15"/>
      <c r="B11" s="15"/>
      <c r="C11" s="2"/>
      <c r="D11" s="15" t="s">
        <v>56</v>
      </c>
      <c r="E11" s="2"/>
      <c r="F11" s="2"/>
      <c r="G11" s="2"/>
      <c r="H11" s="2"/>
      <c r="I11" s="2"/>
      <c r="J11" s="2"/>
    </row>
    <row r="12" spans="1:10" ht="15" customHeight="1" x14ac:dyDescent="0.2">
      <c r="A12" s="15"/>
      <c r="B12" s="15"/>
      <c r="C12" s="2"/>
      <c r="D12" s="15"/>
      <c r="E12" s="2"/>
      <c r="F12" s="2"/>
      <c r="G12" s="2"/>
      <c r="H12" s="2"/>
      <c r="I12" s="2"/>
      <c r="J12" s="2"/>
    </row>
    <row r="13" spans="1:10" ht="15" customHeight="1" x14ac:dyDescent="0.2">
      <c r="A13" s="15"/>
      <c r="B13" s="15"/>
      <c r="C13" s="2"/>
      <c r="D13" s="15"/>
      <c r="E13" s="2"/>
      <c r="F13" s="2"/>
      <c r="G13" s="2"/>
      <c r="H13" s="2"/>
      <c r="I13" s="2"/>
      <c r="J13" s="2"/>
    </row>
    <row r="14" spans="1:10" ht="15" customHeight="1" x14ac:dyDescent="0.2">
      <c r="A14" s="15"/>
      <c r="B14" s="15"/>
      <c r="C14" s="2"/>
      <c r="D14" s="15"/>
      <c r="E14" s="2"/>
      <c r="F14" s="2"/>
      <c r="G14" s="2"/>
      <c r="H14" s="2"/>
      <c r="I14" s="2"/>
      <c r="J14" s="2"/>
    </row>
    <row r="15" spans="1:10" ht="15" customHeight="1" x14ac:dyDescent="0.2">
      <c r="A15" s="15"/>
      <c r="B15" s="15"/>
      <c r="C15" s="2"/>
      <c r="D15" s="15"/>
      <c r="E15" s="2"/>
      <c r="F15" s="2"/>
      <c r="G15" s="2"/>
      <c r="H15" s="2"/>
      <c r="I15" s="2"/>
      <c r="J15" s="2"/>
    </row>
    <row r="16" spans="1:10" ht="1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ht="1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ht="1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ht="1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ht="1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ht="1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ht="1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0" ht="1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0" ht="1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0" ht="1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ht="1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 ht="1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0" ht="1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spans="1:10" ht="1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spans="1:10" ht="1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0" ht="1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</row>
    <row r="32" spans="1:10" ht="1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</row>
    <row r="33" spans="1:10" ht="1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</row>
    <row r="34" spans="1:10" ht="1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</row>
    <row r="35" spans="1:10" ht="1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</row>
    <row r="36" spans="1:10" ht="1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</row>
    <row r="37" spans="1:10" ht="1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 ht="1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ht="1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ht="1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ht="1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ht="1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</row>
    <row r="43" spans="1:10" ht="1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</row>
    <row r="44" spans="1:10" ht="1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</row>
    <row r="45" spans="1:10" ht="1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10" ht="1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</row>
    <row r="47" spans="1:10" ht="1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</row>
    <row r="48" spans="1:10" ht="1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</row>
    <row r="49" spans="1:10" ht="1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</row>
    <row r="50" spans="1:10" ht="1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</row>
    <row r="51" spans="1:10" ht="1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</row>
    <row r="52" spans="1:10" ht="1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</row>
    <row r="53" spans="1:10" ht="1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0" ht="1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0" ht="1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</row>
    <row r="56" spans="1:10" ht="1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</row>
    <row r="57" spans="1:10" ht="1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</row>
    <row r="58" spans="1:10" ht="1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</row>
    <row r="59" spans="1:10" ht="1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</row>
    <row r="60" spans="1:10" ht="1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0" ht="1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0" ht="1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0" ht="1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0" ht="1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 ht="1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 ht="1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 ht="1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 ht="1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 ht="1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 ht="1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 ht="1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 ht="1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</row>
    <row r="73" spans="1:10" ht="1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</row>
    <row r="74" spans="1:10" ht="1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</row>
    <row r="75" spans="1:10" ht="1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 ht="1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 ht="1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 ht="1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 ht="1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 ht="1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 ht="1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 ht="1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</row>
    <row r="83" spans="1:10" ht="1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</row>
    <row r="84" spans="1:10" ht="1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</row>
    <row r="85" spans="1:10" ht="1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</row>
    <row r="86" spans="1:10" ht="1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</row>
    <row r="87" spans="1:10" ht="1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</row>
    <row r="88" spans="1:10" ht="1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</row>
    <row r="89" spans="1:10" ht="1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</row>
    <row r="90" spans="1:10" ht="1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</row>
    <row r="91" spans="1:10" ht="1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</row>
    <row r="92" spans="1:10" ht="1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</row>
    <row r="93" spans="1:10" ht="1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</row>
    <row r="94" spans="1:10" ht="1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</row>
    <row r="95" spans="1:10" ht="1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</row>
    <row r="96" spans="1:10" ht="1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</row>
    <row r="97" spans="1:10" ht="1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</row>
    <row r="98" spans="1:10" ht="1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</row>
    <row r="99" spans="1:10" ht="1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</row>
    <row r="100" spans="1:10" ht="1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</row>
    <row r="101" spans="1:10" ht="1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</row>
    <row r="102" spans="1:10" ht="1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</row>
    <row r="103" spans="1:10" ht="1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</row>
    <row r="104" spans="1:10" ht="1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</row>
    <row r="105" spans="1:10" ht="1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</row>
    <row r="106" spans="1:10" ht="1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</row>
    <row r="107" spans="1:10" ht="1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</row>
    <row r="108" spans="1:10" ht="1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</row>
    <row r="109" spans="1:10" ht="1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</row>
    <row r="110" spans="1:10" ht="1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</row>
    <row r="111" spans="1:10" ht="1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</row>
    <row r="112" spans="1:10" ht="1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</row>
    <row r="113" spans="1:10" ht="1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</row>
    <row r="114" spans="1:10" ht="1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</row>
    <row r="115" spans="1:10" ht="1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</row>
    <row r="116" spans="1:10" ht="1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</row>
    <row r="117" spans="1:10" ht="1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</row>
    <row r="118" spans="1:10" ht="1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</row>
    <row r="119" spans="1:10" ht="1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</row>
    <row r="120" spans="1:10" ht="1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</row>
    <row r="121" spans="1:10" ht="1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</row>
    <row r="122" spans="1:10" ht="1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</row>
    <row r="123" spans="1:10" ht="1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</row>
    <row r="124" spans="1:10" ht="1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</row>
    <row r="125" spans="1:10" ht="1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</row>
    <row r="126" spans="1:10" ht="1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</row>
    <row r="127" spans="1:10" ht="1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</row>
    <row r="128" spans="1:10" ht="1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</row>
    <row r="129" spans="1:10" ht="1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</row>
    <row r="130" spans="1:10" ht="1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</row>
    <row r="131" spans="1:10" ht="1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</row>
    <row r="132" spans="1:10" ht="1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</row>
    <row r="133" spans="1:10" ht="1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</row>
    <row r="134" spans="1:10" ht="1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</row>
    <row r="135" spans="1:10" ht="1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</row>
    <row r="136" spans="1:10" ht="1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</row>
    <row r="137" spans="1:10" ht="1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</row>
    <row r="138" spans="1:10" ht="1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</row>
    <row r="139" spans="1:10" ht="1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</row>
    <row r="140" spans="1:10" ht="1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</row>
    <row r="141" spans="1:10" ht="1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</row>
    <row r="142" spans="1:10" ht="1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</row>
    <row r="143" spans="1:10" ht="1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</row>
    <row r="144" spans="1:10" ht="1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</row>
    <row r="145" spans="1:10" ht="1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</row>
    <row r="146" spans="1:10" ht="1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</row>
    <row r="147" spans="1:10" ht="1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</row>
    <row r="148" spans="1:10" ht="1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</row>
    <row r="149" spans="1:10" ht="1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</row>
    <row r="150" spans="1:10" ht="1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</row>
    <row r="151" spans="1:10" ht="1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</row>
    <row r="152" spans="1:10" ht="1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</row>
    <row r="153" spans="1:10" ht="1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</row>
    <row r="154" spans="1:10" ht="1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</row>
    <row r="155" spans="1:10" ht="1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</row>
    <row r="156" spans="1:10" ht="1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</row>
    <row r="157" spans="1:10" ht="1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</row>
    <row r="158" spans="1:10" ht="1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</row>
    <row r="159" spans="1:10" ht="1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</row>
    <row r="160" spans="1:10" ht="1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</row>
    <row r="161" spans="1:10" ht="1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</row>
    <row r="162" spans="1:10" ht="1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</row>
    <row r="163" spans="1:10" ht="1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</row>
    <row r="164" spans="1:10" ht="1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</row>
    <row r="165" spans="1:10" ht="1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</row>
    <row r="166" spans="1:10" ht="1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</row>
    <row r="167" spans="1:10" ht="1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</row>
    <row r="168" spans="1:10" ht="1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</row>
    <row r="169" spans="1:10" ht="1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</row>
    <row r="170" spans="1:10" ht="1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</row>
    <row r="171" spans="1:10" ht="1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</row>
    <row r="172" spans="1:10" ht="1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</row>
    <row r="173" spans="1:10" ht="1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</row>
    <row r="174" spans="1:10" ht="1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</row>
    <row r="175" spans="1:10" ht="1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</row>
    <row r="176" spans="1:10" ht="1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</row>
    <row r="177" spans="1:10" ht="1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</row>
    <row r="178" spans="1:10" ht="1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</row>
    <row r="179" spans="1:10" ht="1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</row>
    <row r="180" spans="1:10" ht="1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</row>
    <row r="181" spans="1:10" ht="1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</row>
    <row r="182" spans="1:10" ht="1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</row>
    <row r="183" spans="1:10" ht="1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</row>
    <row r="184" spans="1:10" ht="1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</row>
    <row r="185" spans="1:10" ht="1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</row>
    <row r="186" spans="1:10" ht="1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</row>
    <row r="187" spans="1:10" ht="1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</row>
    <row r="188" spans="1:10" ht="1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</row>
    <row r="189" spans="1:10" ht="1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</row>
    <row r="190" spans="1:10" ht="1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</row>
    <row r="191" spans="1:10" ht="1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</row>
    <row r="192" spans="1:10" ht="1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</row>
    <row r="193" spans="1:10" ht="1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</row>
    <row r="194" spans="1:10" ht="1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</row>
    <row r="195" spans="1:10" ht="1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</row>
    <row r="196" spans="1:10" ht="1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</row>
    <row r="197" spans="1:10" ht="1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</row>
    <row r="198" spans="1:10" ht="1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</row>
    <row r="199" spans="1:10" ht="1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</row>
    <row r="200" spans="1:10" ht="1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Dashboard</vt:lpstr>
      <vt:lpstr>Tela_Lancamento</vt:lpstr>
      <vt:lpstr>Solicitacoes</vt:lpstr>
      <vt:lpstr>Itens_Solicitacao</vt:lpstr>
      <vt:lpstr>Cadastros</vt:lpstr>
      <vt:lpstr>listaCodigosEquipamentos</vt:lpstr>
      <vt:lpstr>listaTurmas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Lab2</cp:lastModifiedBy>
  <dcterms:created xsi:type="dcterms:W3CDTF">2026-10-02T13:42:17Z</dcterms:created>
  <dcterms:modified xsi:type="dcterms:W3CDTF">2026-10-06T11:37:16Z</dcterms:modified>
</cp:coreProperties>
</file>